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8.xml" ContentType="application/vnd.openxmlformats-officedocument.spreadsheetml.table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ORTADA" sheetId="1" state="visible" r:id="rId1"/>
    <sheet xmlns:r="http://schemas.openxmlformats.org/officeDocument/2006/relationships" name="00_MANUAL" sheetId="2" state="visible" r:id="rId2"/>
    <sheet xmlns:r="http://schemas.openxmlformats.org/officeDocument/2006/relationships" name="02_CONFIGURACION" sheetId="3" state="visible" r:id="rId3"/>
    <sheet xmlns:r="http://schemas.openxmlformats.org/officeDocument/2006/relationships" name="03_DASHBOARD_EJECUTIVO" sheetId="4" state="visible" r:id="rId4"/>
    <sheet xmlns:r="http://schemas.openxmlformats.org/officeDocument/2006/relationships" name="04_INGRESOS" sheetId="5" state="visible" r:id="rId5"/>
    <sheet xmlns:r="http://schemas.openxmlformats.org/officeDocument/2006/relationships" name="05_EGRESOS" sheetId="6" state="visible" r:id="rId6"/>
    <sheet xmlns:r="http://schemas.openxmlformats.org/officeDocument/2006/relationships" name="06_COSTOS" sheetId="7" state="visible" r:id="rId7"/>
    <sheet xmlns:r="http://schemas.openxmlformats.org/officeDocument/2006/relationships" name="07_PUNTO_EQUILIBRIO" sheetId="8" state="visible" r:id="rId8"/>
    <sheet xmlns:r="http://schemas.openxmlformats.org/officeDocument/2006/relationships" name="08_FLUJO_CAJA" sheetId="9" state="visible" r:id="rId9"/>
    <sheet xmlns:r="http://schemas.openxmlformats.org/officeDocument/2006/relationships" name="09_ESTADO_RESULTADOS" sheetId="10" state="visible" r:id="rId10"/>
    <sheet xmlns:r="http://schemas.openxmlformats.org/officeDocument/2006/relationships" name="10_BALANCE_GENERAL" sheetId="11" state="visible" r:id="rId11"/>
    <sheet xmlns:r="http://schemas.openxmlformats.org/officeDocument/2006/relationships" name="11_CUENTAS_POR_COBRAR" sheetId="12" state="visible" r:id="rId12"/>
    <sheet xmlns:r="http://schemas.openxmlformats.org/officeDocument/2006/relationships" name="12_CUENTAS_POR_PAGAR" sheetId="13" state="visible" r:id="rId13"/>
    <sheet xmlns:r="http://schemas.openxmlformats.org/officeDocument/2006/relationships" name="13_INVENTARIO" sheetId="14" state="visible" r:id="rId14"/>
    <sheet xmlns:r="http://schemas.openxmlformats.org/officeDocument/2006/relationships" name="14_NOMINA" sheetId="15" state="visible" r:id="rId15"/>
    <sheet xmlns:r="http://schemas.openxmlformats.org/officeDocument/2006/relationships" name="15_IMPUESTOS" sheetId="16" state="visible" r:id="rId16"/>
    <sheet xmlns:r="http://schemas.openxmlformats.org/officeDocument/2006/relationships" name="16_PRESUPUESTO" sheetId="17" state="visible" r:id="rId17"/>
    <sheet xmlns:r="http://schemas.openxmlformats.org/officeDocument/2006/relationships" name="17_KPI_GERENCIALES" sheetId="18" state="visible" r:id="rId18"/>
    <sheet xmlns:r="http://schemas.openxmlformats.org/officeDocument/2006/relationships" name="18_PRODUCCION_MINERA" sheetId="19" state="visible" r:id="rId19"/>
    <sheet xmlns:r="http://schemas.openxmlformats.org/officeDocument/2006/relationships" name="19_COSTO_POR_TONELADA" sheetId="20" state="visible" r:id="rId20"/>
    <sheet xmlns:r="http://schemas.openxmlformats.org/officeDocument/2006/relationships" name="20_RESERVAS_MINERAS" sheetId="21" state="visible" r:id="rId21"/>
    <sheet xmlns:r="http://schemas.openxmlformats.org/officeDocument/2006/relationships" name="21_INDICADORES_MINEROS" sheetId="22" state="visible" r:id="rId22"/>
  </sheets>
  <definedNames>
    <definedName name="Costos_Fijos">'06_COSTOS'!$B$8</definedName>
    <definedName name="Costo_Var_Unitario">'06_COSTOS'!$B$15</definedName>
    <definedName name="Precio_Venta_Unitario">'06_COSTOS'!$B$17</definedName>
    <definedName name="Unidades_Vendidas">'06_COSTOS'!$B$18</definedName>
    <definedName name="Ingresos_Totales">='09_ESTADO_RESULTADOS'!$B$3</definedName>
    <definedName name="Utilidad_Bruta">='09_ESTADO_RESULTADOS'!$B$5</definedName>
    <definedName name="Utilidad_Operativa">='09_ESTADO_RESULTADOS'!$B$7</definedName>
    <definedName name="Utilidad_Neta">='09_ESTADO_RESULTADOS'!$B$11</definedName>
    <definedName name="Gastos_Financieros">='09_ESTADO_RESULTADOS'!$B$8</definedName>
    <definedName name="Egresos_Totales">='05_EGRESOS'!$F$20</definedName>
    <definedName name="Costo_Total_Tonelada">='19_COSTO_POR_TONELADA'!B8</definedName>
    <definedName name="Tasa_BCV" localSheetId="2">'02_CONFIGURACION'!$B$7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.00 &quot;Bs&quot;"/>
    <numFmt numFmtId="166" formatCode="0.0%"/>
    <numFmt numFmtId="167" formatCode="dd/mm/yyyy"/>
    <numFmt numFmtId="168" formatCode="$#,##0.00"/>
    <numFmt numFmtId="169" formatCode="0.0"/>
    <numFmt numFmtId="170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F4E78"/>
      <sz val="26"/>
    </font>
    <font>
      <name val="Segoe UI"/>
      <b val="1"/>
      <color rgb="002E75B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4"/>
    </font>
    <font>
      <name val="Segoe UI"/>
      <color rgb="002E75B6"/>
      <sz val="11"/>
      <u val="single"/>
    </font>
    <font>
      <name val="Segoe UI"/>
      <b val="1"/>
      <color rgb="001F4E78"/>
      <sz val="11"/>
    </font>
    <font>
      <name val="Segoe UI"/>
      <b val="1"/>
      <color rgb="00FFFFFF"/>
      <sz val="9"/>
    </font>
    <font>
      <name val="Segoe UI"/>
      <b val="1"/>
      <color rgb="001F4E78"/>
      <sz val="18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4" borderId="0" pivotButton="0" quotePrefix="0" xfId="0"/>
    <xf numFmtId="0" fontId="0" fillId="2" borderId="1" pivotButton="0" quotePrefix="0" xfId="0"/>
    <xf numFmtId="165" fontId="0" fillId="2" borderId="1" pivotButton="0" quotePrefix="0" xfId="0"/>
    <xf numFmtId="166" fontId="0" fillId="2" borderId="1" pivotButton="0" quotePrefix="0" xfId="0"/>
    <xf numFmtId="0" fontId="7" fillId="0" borderId="0" pivotButton="0" quotePrefix="0" xfId="0"/>
    <xf numFmtId="0" fontId="8" fillId="4" borderId="0" applyAlignment="1" pivotButton="0" quotePrefix="0" xfId="0">
      <alignment horizontal="center" vertical="center" wrapText="1"/>
    </xf>
    <xf numFmtId="165" fontId="9" fillId="2" borderId="0" applyAlignment="1" pivotButton="0" quotePrefix="0" xfId="0">
      <alignment horizontal="center" vertical="center" wrapText="1"/>
    </xf>
    <xf numFmtId="2" fontId="9" fillId="2" borderId="0" applyAlignment="1" pivotButton="0" quotePrefix="0" xfId="0">
      <alignment horizontal="center" vertical="center" wrapText="1"/>
    </xf>
    <xf numFmtId="166" fontId="9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0" fontId="3" fillId="2" borderId="1" pivotButton="0" quotePrefix="0" xfId="0"/>
    <xf numFmtId="165" fontId="3" fillId="2" borderId="1" pivotButton="0" quotePrefix="0" xfId="0"/>
    <xf numFmtId="168" fontId="3" fillId="2" borderId="1" pivotButton="0" quotePrefix="0" xfId="0"/>
    <xf numFmtId="165" fontId="3" fillId="2" borderId="0" pivotButton="0" quotePrefix="0" xfId="0"/>
    <xf numFmtId="165" fontId="0" fillId="2" borderId="0" pivotButton="0" quotePrefix="0" xfId="0"/>
    <xf numFmtId="3" fontId="0" fillId="2" borderId="1" pivotButton="0" quotePrefix="0" xfId="0"/>
    <xf numFmtId="168" fontId="0" fillId="2" borderId="1" pivotButton="0" quotePrefix="0" xfId="0"/>
    <xf numFmtId="166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165" fontId="10" fillId="3" borderId="0" pivotButton="0" quotePrefix="0" xfId="0"/>
    <xf numFmtId="2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1" fontId="0" fillId="2" borderId="1" pivotButton="0" quotePrefix="0" xfId="0"/>
    <xf numFmtId="169" fontId="0" fillId="0" borderId="1" pivotButton="0" quotePrefix="0" xfId="0"/>
    <xf numFmtId="170" fontId="0" fillId="2" borderId="1" pivotButton="0" quotePrefix="0" xfId="0"/>
    <xf numFmtId="169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Categoria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'03_DASHBOARD_EJECUTIVO'!$A$17:$A$20</f>
            </numRef>
          </cat>
          <val>
            <numRef>
              <f>'03_DASHBOARD_EJECUTIVO'!$B$17:$B$20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Egresos por Categoria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'03_DASHBOARD_EJECUTIVO'!$I$17:$I$25</f>
            </numRef>
          </cat>
          <val>
            <numRef>
              <f>'03_DASHBOARD_EJECUTIVO'!$J$17:$J$25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Flujo de Caja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'08_FLUJO_CAJA'!D3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'08_FLUJO_CAJA'!$A$4:$A$15</f>
            </numRef>
          </cat>
          <val>
            <numRef>
              <f>'08_FLUJO_CAJA'!$D$4:$D$15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36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15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Ingresos" displayName="tbl_Ingresos" ref="A3:G15" headerRowCount="1">
  <autoFilter ref="A3:G15"/>
  <tableColumns count="7">
    <tableColumn id="1" name="Fecha"/>
    <tableColumn id="2" name="Cliente"/>
    <tableColumn id="3" name="Concepto"/>
    <tableColumn id="4" name="Categoria"/>
    <tableColumn id="5" name="Centro de Costos"/>
    <tableColumn id="6" name="Bs."/>
    <tableColumn id="7" name="USD"/>
  </tableColumns>
  <tableStyleInfo name="TableStyleMedium2" showRowStripes="1"/>
</table>
</file>

<file path=xl/tables/table2.xml><?xml version="1.0" encoding="utf-8"?>
<table xmlns="http://schemas.openxmlformats.org/spreadsheetml/2006/main" id="2" name="tbl_Egresos" displayName="tbl_Egresos" ref="A3:G18" headerRowCount="1">
  <autoFilter ref="A3:G18"/>
  <tableColumns count="7">
    <tableColumn id="1" name="Fecha"/>
    <tableColumn id="2" name="Proveedor"/>
    <tableColumn id="3" name="Concepto"/>
    <tableColumn id="4" name="Categoria"/>
    <tableColumn id="5" name="Centro de Costos"/>
    <tableColumn id="6" name="Bs."/>
    <tableColumn id="7" name="USD"/>
  </tableColumns>
  <tableStyleInfo name="TableStyleMedium2" showRowStripes="1"/>
</table>
</file>

<file path=xl/tables/table3.xml><?xml version="1.0" encoding="utf-8"?>
<table xmlns="http://schemas.openxmlformats.org/spreadsheetml/2006/main" id="3" name="tbl_CxC" displayName="tbl_CxC" ref="A3:G7" headerRowCount="1">
  <autoFilter ref="A3:G7"/>
  <tableColumns count="7">
    <tableColumn id="1" name="Cliente"/>
    <tableColumn id="2" name="Factura"/>
    <tableColumn id="3" name="Fecha Emision"/>
    <tableColumn id="4" name="Fecha Vencimiento"/>
    <tableColumn id="5" name="Monto (Bs.)"/>
    <tableColumn id="6" name="Estado"/>
    <tableColumn id="7" name="Semaforo"/>
  </tableColumns>
  <tableStyleInfo name="TableStyleMedium2" showRowStripes="1"/>
</table>
</file>

<file path=xl/tables/table4.xml><?xml version="1.0" encoding="utf-8"?>
<table xmlns="http://schemas.openxmlformats.org/spreadsheetml/2006/main" id="4" name="tbl_CxP" displayName="tbl_CxP" ref="A3:F7" headerRowCount="1">
  <autoFilter ref="A3:F7"/>
  <tableColumns count="6">
    <tableColumn id="1" name="Proveedor / Obligacion"/>
    <tableColumn id="2" name="Tipo"/>
    <tableColumn id="3" name="Fecha Vencimiento"/>
    <tableColumn id="4" name="Monto (Bs.)"/>
    <tableColumn id="5" name="Estado"/>
    <tableColumn id="6" name="Alerta"/>
  </tableColumns>
  <tableStyleInfo name="TableStyleMedium2" showRowStripes="1"/>
</table>
</file>

<file path=xl/tables/table5.xml><?xml version="1.0" encoding="utf-8"?>
<table xmlns="http://schemas.openxmlformats.org/spreadsheetml/2006/main" id="5" name="tbl_Inventario" displayName="tbl_Inventario" ref="A3:H7" headerRowCount="1">
  <autoFilter ref="A3:H7"/>
  <tableColumns count="8">
    <tableColumn id="1" name="Producto"/>
    <tableColumn id="2" name="Existencia"/>
    <tableColumn id="3" name="Stock Minimo"/>
    <tableColumn id="4" name="Stock Maximo"/>
    <tableColumn id="5" name="Costo Unitario (Bs.)"/>
    <tableColumn id="6" name="Valor Inventario (Bs.)"/>
    <tableColumn id="7" name="Rotacion (veces/mes)"/>
    <tableColumn id="8" name="Cobertura (dias)"/>
  </tableColumns>
  <tableStyleInfo name="TableStyleMedium2" showRowStripes="1"/>
</table>
</file>

<file path=xl/tables/table6.xml><?xml version="1.0" encoding="utf-8"?>
<table xmlns="http://schemas.openxmlformats.org/spreadsheetml/2006/main" id="6" name="tbl_Nomina" displayName="tbl_Nomina" ref="A3:K7" headerRowCount="1">
  <autoFilter ref="A3:K7"/>
  <tableColumns count="11">
    <tableColumn id="1" name="Empleado"/>
    <tableColumn id="2" name="Cargo"/>
    <tableColumn id="3" name="Salario Mensual (Bs.)"/>
    <tableColumn id="4" name="Dias Trabajados"/>
    <tableColumn id="5" name="IVSS Trabajador (4%)"/>
    <tableColumn id="6" name="FAOV Trabajador (1%)"/>
    <tableColumn id="7" name="Aporte Trabajador"/>
    <tableColumn id="8" name="IVSS Patrono (9%)"/>
    <tableColumn id="9" name="FAOV Patrono (2%)"/>
    <tableColumn id="10" name="INCES Patrono (2%)"/>
    <tableColumn id="11" name="Salario Neto (Bs.)"/>
  </tableColumns>
  <tableStyleInfo name="TableStyleMedium2" showRowStripes="1"/>
</table>
</file>

<file path=xl/tables/table7.xml><?xml version="1.0" encoding="utf-8"?>
<table xmlns="http://schemas.openxmlformats.org/spreadsheetml/2006/main" id="7" name="tbl_ProduccionMinera" displayName="tbl_ProduccionMinera" ref="A3:F8" headerRowCount="1">
  <autoFilter ref="A3:F8"/>
  <tableColumns count="6">
    <tableColumn id="1" name="Fecha"/>
    <tableColumn id="2" name="Mina"/>
    <tableColumn id="3" name="Mineral"/>
    <tableColumn id="4" name="Produccion (Tm)"/>
    <tableColumn id="5" name="Ventas (Tm)"/>
    <tableColumn id="6" name="Inventario (Tm)"/>
  </tableColumns>
  <tableStyleInfo name="TableStyleMedium2" showRowStripes="1"/>
</table>
</file>

<file path=xl/tables/table8.xml><?xml version="1.0" encoding="utf-8"?>
<table xmlns="http://schemas.openxmlformats.org/spreadsheetml/2006/main" id="8" name="tbl_Reservas" displayName="tbl_Reservas" ref="A3:E5" headerRowCount="1">
  <autoFilter ref="A3:E5"/>
  <tableColumns count="5">
    <tableColumn id="1" name="Mina"/>
    <tableColumn id="2" name="Reservas Medidas (Tm)"/>
    <tableColumn id="3" name="Reservas Indicadas (Tm)"/>
    <tableColumn id="4" name="Reservas Inferidas (Tm)"/>
    <tableColumn id="5" name="Vida Util (anos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_MANUAL'!A1" TargetMode="External" Id="rId1"/><Relationship Type="http://schemas.openxmlformats.org/officeDocument/2006/relationships/hyperlink" Target="#'02_CONFIGURACION'!A1" TargetMode="External" Id="rId2"/><Relationship Type="http://schemas.openxmlformats.org/officeDocument/2006/relationships/hyperlink" Target="#'03_DASHBOARD_EJECUTIVO'!A1" TargetMode="External" Id="rId3"/><Relationship Type="http://schemas.openxmlformats.org/officeDocument/2006/relationships/hyperlink" Target="#'04_INGRESOS'!A1" TargetMode="External" Id="rId4"/><Relationship Type="http://schemas.openxmlformats.org/officeDocument/2006/relationships/hyperlink" Target="#'05_EGRESOS'!A1" TargetMode="External" Id="rId5"/><Relationship Type="http://schemas.openxmlformats.org/officeDocument/2006/relationships/hyperlink" Target="#'06_COSTOS'!A1" TargetMode="External" Id="rId6"/><Relationship Type="http://schemas.openxmlformats.org/officeDocument/2006/relationships/hyperlink" Target="#'07_PUNTO_EQUILIBRIO'!A1" TargetMode="External" Id="rId7"/><Relationship Type="http://schemas.openxmlformats.org/officeDocument/2006/relationships/hyperlink" Target="#'08_FLUJO_CAJA'!A1" TargetMode="External" Id="rId8"/><Relationship Type="http://schemas.openxmlformats.org/officeDocument/2006/relationships/hyperlink" Target="#'09_ESTADO_RESULTADOS'!A1" TargetMode="External" Id="rId9"/><Relationship Type="http://schemas.openxmlformats.org/officeDocument/2006/relationships/hyperlink" Target="#'10_BALANCE_GENERAL'!A1" TargetMode="External" Id="rId10"/><Relationship Type="http://schemas.openxmlformats.org/officeDocument/2006/relationships/hyperlink" Target="#'11_CUENTAS_POR_COBRAR'!A1" TargetMode="External" Id="rId11"/><Relationship Type="http://schemas.openxmlformats.org/officeDocument/2006/relationships/hyperlink" Target="#'12_CUENTAS_POR_PAGAR'!A1" TargetMode="External" Id="rId12"/><Relationship Type="http://schemas.openxmlformats.org/officeDocument/2006/relationships/hyperlink" Target="#'13_INVENTARIO'!A1" TargetMode="External" Id="rId13"/><Relationship Type="http://schemas.openxmlformats.org/officeDocument/2006/relationships/hyperlink" Target="#'14_NOMINA'!A1" TargetMode="External" Id="rId14"/><Relationship Type="http://schemas.openxmlformats.org/officeDocument/2006/relationships/hyperlink" Target="#'15_IMPUESTOS'!A1" TargetMode="External" Id="rId15"/><Relationship Type="http://schemas.openxmlformats.org/officeDocument/2006/relationships/hyperlink" Target="#'16_PRESUPUESTO'!A1" TargetMode="External" Id="rId16"/><Relationship Type="http://schemas.openxmlformats.org/officeDocument/2006/relationships/hyperlink" Target="#'17_KPI_GERENCIALES'!A1" TargetMode="External" Id="rId17"/><Relationship Type="http://schemas.openxmlformats.org/officeDocument/2006/relationships/hyperlink" Target="#'18_PRODUCCION_MINERA'!A1" TargetMode="External" Id="rId18"/><Relationship Type="http://schemas.openxmlformats.org/officeDocument/2006/relationships/hyperlink" Target="#'19_COSTO_POR_TONELADA'!A1" TargetMode="External" Id="rId19"/><Relationship Type="http://schemas.openxmlformats.org/officeDocument/2006/relationships/hyperlink" Target="#'20_RESERVAS_MINERAS'!A1" TargetMode="External" Id="rId20"/><Relationship Type="http://schemas.openxmlformats.org/officeDocument/2006/relationships/hyperlink" Target="#'21_INDICADORES_MINEROS'!A1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" customWidth="1" min="3" max="3"/>
    <col width="26" customWidth="1" min="4" max="4"/>
    <col width="4" customWidth="1" min="5" max="5"/>
    <col width="4" customWidth="1" min="6" max="6"/>
    <col width="4" customWidth="1" min="7" max="7"/>
    <col width="4" customWidth="1" min="8" max="8"/>
  </cols>
  <sheetData>
    <row r="2">
      <c r="B2" s="1" t="inlineStr">
        <is>
          <t>SISTEMA INTEGRAL DE GESTION FINANCIERA</t>
        </is>
      </c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>
      <c r="B4" s="2" t="n"/>
      <c r="C4" s="2" t="n"/>
      <c r="D4" s="2" t="n"/>
      <c r="E4" s="2" t="n"/>
      <c r="F4" s="2" t="n"/>
      <c r="G4" s="2" t="n"/>
      <c r="H4" s="2" t="n"/>
    </row>
    <row r="5">
      <c r="B5" s="2" t="n"/>
      <c r="C5" s="2" t="n"/>
      <c r="D5" s="2" t="n"/>
      <c r="E5" s="2" t="n"/>
      <c r="F5" s="2" t="n"/>
      <c r="G5" s="2" t="n"/>
      <c r="H5" s="2" t="n"/>
    </row>
    <row r="6">
      <c r="B6" s="2" t="n"/>
      <c r="C6" s="2" t="n"/>
      <c r="D6" s="2" t="n"/>
      <c r="E6" s="2" t="n"/>
      <c r="F6" s="2" t="n"/>
      <c r="G6" s="2" t="n"/>
      <c r="H6" s="2" t="n"/>
    </row>
    <row r="7">
      <c r="B7" s="3" t="inlineStr">
        <is>
          <t>[NOMBRE DE LA EMPRESA]</t>
        </is>
      </c>
      <c r="C7" s="2" t="n"/>
      <c r="D7" s="2" t="n"/>
      <c r="E7" s="2" t="n"/>
      <c r="F7" s="2" t="n"/>
      <c r="G7" s="2" t="n"/>
      <c r="H7" s="2" t="n"/>
    </row>
    <row r="9">
      <c r="B9" s="4" t="inlineStr">
        <is>
          <t>RIF:</t>
        </is>
      </c>
      <c r="D9" s="5" t="inlineStr">
        <is>
          <t>J-00000000-0</t>
        </is>
      </c>
    </row>
    <row r="10">
      <c r="B10" s="4" t="inlineStr">
        <is>
          <t>Direccion:</t>
        </is>
      </c>
      <c r="D10" s="5" t="inlineStr">
        <is>
          <t>[Direccion fiscal]</t>
        </is>
      </c>
    </row>
    <row r="11">
      <c r="B11" s="4" t="inlineStr">
        <is>
          <t>Ano fiscal:</t>
        </is>
      </c>
      <c r="D11" s="5" t="n">
        <v>2026</v>
      </c>
    </row>
    <row r="12">
      <c r="B12" s="4" t="inlineStr">
        <is>
          <t>Moneda principal:</t>
        </is>
      </c>
      <c r="D12" s="5" t="inlineStr">
        <is>
          <t>Bs / USD</t>
        </is>
      </c>
    </row>
    <row r="13">
      <c r="B13" s="4" t="inlineStr">
        <is>
          <t>Fecha de actualizacion:</t>
        </is>
      </c>
      <c r="D13" s="6" t="n">
        <v>46184</v>
      </c>
    </row>
    <row r="15">
      <c r="B15" s="7" t="inlineStr">
        <is>
          <t>MENU DE NAVEGACION</t>
        </is>
      </c>
    </row>
    <row r="16">
      <c r="B16" s="8" t="inlineStr">
        <is>
          <t>00_MANUAL</t>
        </is>
      </c>
    </row>
    <row r="17">
      <c r="B17" s="8" t="inlineStr">
        <is>
          <t>02_CONFIGURACION</t>
        </is>
      </c>
    </row>
    <row r="18">
      <c r="B18" s="8" t="inlineStr">
        <is>
          <t>03_DASHBOARD_EJECUTIVO</t>
        </is>
      </c>
    </row>
    <row r="19">
      <c r="B19" s="8" t="inlineStr">
        <is>
          <t>04_INGRESOS</t>
        </is>
      </c>
    </row>
    <row r="20">
      <c r="B20" s="8" t="inlineStr">
        <is>
          <t>05_EGRESOS</t>
        </is>
      </c>
    </row>
    <row r="21">
      <c r="B21" s="8" t="inlineStr">
        <is>
          <t>06_COSTOS</t>
        </is>
      </c>
    </row>
    <row r="22">
      <c r="B22" s="8" t="inlineStr">
        <is>
          <t>07_PUNTO_EQUILIBRIO</t>
        </is>
      </c>
    </row>
    <row r="23">
      <c r="B23" s="8" t="inlineStr">
        <is>
          <t>08_FLUJO_CAJA</t>
        </is>
      </c>
    </row>
    <row r="24">
      <c r="B24" s="8" t="inlineStr">
        <is>
          <t>09_ESTADO_RESULTADOS</t>
        </is>
      </c>
    </row>
    <row r="25">
      <c r="B25" s="8" t="inlineStr">
        <is>
          <t>10_BALANCE_GENERAL</t>
        </is>
      </c>
    </row>
    <row r="26">
      <c r="B26" s="8" t="inlineStr">
        <is>
          <t>11_CUENTAS_POR_COBRAR</t>
        </is>
      </c>
    </row>
    <row r="27">
      <c r="B27" s="8" t="inlineStr">
        <is>
          <t>12_CUENTAS_POR_PAGAR</t>
        </is>
      </c>
    </row>
    <row r="28">
      <c r="B28" s="8" t="inlineStr">
        <is>
          <t>13_INVENTARIO</t>
        </is>
      </c>
    </row>
    <row r="29">
      <c r="B29" s="8" t="inlineStr">
        <is>
          <t>14_NOMINA</t>
        </is>
      </c>
    </row>
    <row r="30">
      <c r="B30" s="8" t="inlineStr">
        <is>
          <t>15_IMPUESTOS</t>
        </is>
      </c>
    </row>
    <row r="31">
      <c r="B31" s="8" t="inlineStr">
        <is>
          <t>16_PRESUPUESTO</t>
        </is>
      </c>
    </row>
    <row r="32">
      <c r="B32" s="8" t="inlineStr">
        <is>
          <t>17_KPI_GERENCIALES</t>
        </is>
      </c>
    </row>
    <row r="33">
      <c r="B33" s="8" t="inlineStr">
        <is>
          <t>18_PRODUCCION_MINERA</t>
        </is>
      </c>
    </row>
    <row r="34">
      <c r="B34" s="8" t="inlineStr">
        <is>
          <t>19_COSTO_POR_TONELADA</t>
        </is>
      </c>
    </row>
    <row r="35">
      <c r="B35" s="8" t="inlineStr">
        <is>
          <t>20_RESERVAS_MINERAS</t>
        </is>
      </c>
    </row>
    <row r="36">
      <c r="B36" s="8" t="inlineStr">
        <is>
          <t>21_INDICADORES_MINEROS</t>
        </is>
      </c>
    </row>
  </sheetData>
  <mergeCells count="3">
    <mergeCell ref="B15:D15"/>
    <mergeCell ref="B7:H7"/>
    <mergeCell ref="B2:H6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  <hyperlink xmlns:r="http://schemas.openxmlformats.org/officeDocument/2006/relationships" ref="B31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4" customWidth="1" min="2" max="2"/>
  </cols>
  <sheetData>
    <row r="1">
      <c r="A1" s="9" t="inlineStr">
        <is>
          <t>MANUAL DE USO Y MANUAL TECNICO</t>
        </is>
      </c>
      <c r="B1" s="9" t="n"/>
    </row>
    <row r="3">
      <c r="A3" s="10" t="inlineStr">
        <is>
          <t>MANUAL DE USUARIO</t>
        </is>
      </c>
    </row>
    <row r="4">
      <c r="A4" s="5" t="inlineStr">
        <is>
          <t>1. Navegacion</t>
        </is>
      </c>
    </row>
    <row r="5">
      <c r="A5" s="5" t="inlineStr">
        <is>
          <t>Use los enlaces de la hoja 01_PORTADA o las pestanas inferiores para moverse entre modulos.</t>
        </is>
      </c>
    </row>
    <row r="6">
      <c r="A6" s="5" t="inlineStr">
        <is>
          <t>2. Configuracion inicial</t>
        </is>
      </c>
    </row>
    <row r="7">
      <c r="A7" s="5" t="inlineStr">
        <is>
          <t>Antes de usar el archivo, complete 02_CONFIGURACION: datos de la empresa, RIF, tasa BCV,</t>
        </is>
      </c>
    </row>
    <row r="8">
      <c r="A8" s="5" t="inlineStr">
        <is>
          <t>alicuotas de IVA/IGTF, centros de costos, lineas de negocio y categorias.</t>
        </is>
      </c>
    </row>
    <row r="9">
      <c r="A9" s="5" t="inlineStr">
        <is>
          <t>3. Registro de operaciones</t>
        </is>
      </c>
    </row>
    <row r="10">
      <c r="A10" s="5" t="inlineStr">
        <is>
          <t>Ingrese cada transaccion en 04_INGRESOS y 05_EGRESOS dentro de las tablas (tbl_Ingresos /</t>
        </is>
      </c>
    </row>
    <row r="11">
      <c r="A11" s="5" t="inlineStr">
        <is>
          <t>tbl_Egresos). Al escribir una nueva fila debajo de la tabla, esta se expande automaticamente</t>
        </is>
      </c>
    </row>
    <row r="12">
      <c r="A12" s="5" t="inlineStr">
        <is>
          <t>y todas las formulas, dashboards y reportes se recalculan solos.</t>
        </is>
      </c>
    </row>
    <row r="13">
      <c r="A13" s="5" t="inlineStr">
        <is>
          <t>4. Categorias</t>
        </is>
      </c>
    </row>
    <row r="14">
      <c r="A14" s="5" t="inlineStr">
        <is>
          <t>Use unicamente las categorias definidas en 02_CONFIGURACION para que las formulas SUMIFS</t>
        </is>
      </c>
    </row>
    <row r="15">
      <c r="A15" s="5" t="inlineStr">
        <is>
          <t>del Estado de Resultados, Presupuesto e Impuestos funcionen correctamente.</t>
        </is>
      </c>
    </row>
    <row r="16">
      <c r="A16" s="5" t="inlineStr">
        <is>
          <t>5. Cuentas por Cobrar / Pagar</t>
        </is>
      </c>
    </row>
    <row r="17">
      <c r="A17" s="5" t="inlineStr">
        <is>
          <t>La columna 'Semaforo' / 'Alerta' se calcula sola segun la fecha de vencimiento y el estado</t>
        </is>
      </c>
    </row>
    <row r="18">
      <c r="A18" s="5" t="inlineStr">
        <is>
          <t>(Pendiente/Pagado). Verde = al dia, Amarillo = proximo a vencer, Rojo = vencido.</t>
        </is>
      </c>
    </row>
    <row r="19">
      <c r="A19" s="5" t="inlineStr">
        <is>
          <t>6. Actualizar el Dashboard</t>
        </is>
      </c>
    </row>
    <row r="20">
      <c r="A20" s="5" t="inlineStr">
        <is>
          <t>El Dashboard Ejecutivo se recalcula automaticamente (formulas nativas de Excel). Si usa</t>
        </is>
      </c>
    </row>
    <row r="21">
      <c r="A21" s="5" t="inlineStr">
        <is>
          <t>Power Query, presione 'Actualizar todo' en la pestana Datos.</t>
        </is>
      </c>
    </row>
    <row r="22">
      <c r="A22" s="5" t="inlineStr"/>
    </row>
    <row r="23">
      <c r="A23" s="10" t="inlineStr">
        <is>
          <t>MANUAL TECNICO</t>
        </is>
      </c>
    </row>
    <row r="24">
      <c r="A24" s="5" t="inlineStr">
        <is>
          <t>1. Estructura de nombres definidos</t>
        </is>
      </c>
    </row>
    <row r="25">
      <c r="A25" s="5" t="inlineStr">
        <is>
          <t>Tasa_BCV, Costos_Fijos, Costo_Var_Unitario, Precio_Venta_Unitario, Unidades_Vendidas,</t>
        </is>
      </c>
    </row>
    <row r="26">
      <c r="A26" s="5" t="inlineStr">
        <is>
          <t>Ingresos_Totales, Utilidad_Bruta, Utilidad_Operativa, Utilidad_Neta, Gastos_Financieros,</t>
        </is>
      </c>
    </row>
    <row r="27">
      <c r="A27" s="5" t="inlineStr">
        <is>
          <t>Egresos_Totales, Costo_Total_Tonelada (ver Formulas &gt; Administrador de nombres).</t>
        </is>
      </c>
    </row>
    <row r="28">
      <c r="A28" s="5" t="inlineStr">
        <is>
          <t>2. Tablas estructuradas (Excel Tables)</t>
        </is>
      </c>
    </row>
    <row r="29">
      <c r="A29" s="5" t="inlineStr">
        <is>
          <t>tbl_Ingresos, tbl_Egresos, tbl_CxC, tbl_CxP, tbl_Inventario, tbl_Nomina,</t>
        </is>
      </c>
    </row>
    <row r="30">
      <c r="A30" s="5" t="inlineStr">
        <is>
          <t>tbl_ProduccionMinera, tbl_Reservas. No elimine ni renombre estas tablas: las formulas de</t>
        </is>
      </c>
    </row>
    <row r="31">
      <c r="A31" s="5" t="inlineStr">
        <is>
          <t>Dashboard, Estado de Resultados, Flujo de Caja, Presupuesto e Indicadores dependen de ellas.</t>
        </is>
      </c>
    </row>
    <row r="32">
      <c r="A32" s="5" t="inlineStr">
        <is>
          <t>3. Relaciones entre hojas</t>
        </is>
      </c>
    </row>
    <row r="33">
      <c r="A33" s="5" t="inlineStr">
        <is>
          <t>04/05 -&gt; 09 (Estado Resultados, via SUMIFS) -&gt; 10 (Balance, Utilidad Neta)</t>
        </is>
      </c>
    </row>
    <row r="34">
      <c r="A34" s="5" t="inlineStr">
        <is>
          <t>04/05 -&gt; 08 (Flujo de Caja, via SUMPRODUCT por mes/ano)</t>
        </is>
      </c>
    </row>
    <row r="35">
      <c r="A35" s="5" t="inlineStr">
        <is>
          <t>11/12/13 -&gt; 10 (Balance General: CxC, CxP, Inventario)</t>
        </is>
      </c>
    </row>
    <row r="36">
      <c r="A36" s="5" t="inlineStr">
        <is>
          <t>06 -&gt; 07 (Punto de Equilibrio, via nombres definidos)</t>
        </is>
      </c>
    </row>
    <row r="37">
      <c r="A37" s="5" t="inlineStr">
        <is>
          <t>18 -&gt; 19, 20, 21 (Modulo minero)</t>
        </is>
      </c>
    </row>
    <row r="38">
      <c r="A38" s="5" t="inlineStr">
        <is>
          <t>4. Mantenimiento</t>
        </is>
      </c>
    </row>
    <row r="39">
      <c r="A39" s="5" t="inlineStr">
        <is>
          <t>Para agregar un nuevo centro de costos, linea de negocio o categoria, agreguela en</t>
        </is>
      </c>
    </row>
    <row r="40">
      <c r="A40" s="5" t="inlineStr">
        <is>
          <t>02_CONFIGURACION y, si corresponde, ajuste las formulas SUMIFS en 09, 15, 16 y 21.</t>
        </is>
      </c>
    </row>
    <row r="41">
      <c r="A41" s="5" t="inlineStr">
        <is>
          <t>5. Proteccion</t>
        </is>
      </c>
    </row>
    <row r="42">
      <c r="A42" s="5" t="inlineStr">
        <is>
          <t>Se recomienda proteger las hojas con formulas (Revisar &gt; Proteger hoja) dejando</t>
        </is>
      </c>
    </row>
    <row r="43">
      <c r="A43" s="5" t="inlineStr">
        <is>
          <t>desbloqueadas unicamente las celdas de captura (dentro de las tablas tbl_*).</t>
        </is>
      </c>
    </row>
    <row r="44">
      <c r="A44" s="5" t="inlineStr">
        <is>
          <t>6. Automatizacion VBA</t>
        </is>
      </c>
    </row>
    <row r="45">
      <c r="A45" s="5" t="inlineStr">
        <is>
          <t>Importe el modulo 'ERP_Macros.bas' (incluido junto a este archivo) en el Editor de VBA</t>
        </is>
      </c>
    </row>
    <row r="46">
      <c r="A46" s="5" t="inlineStr">
        <is>
          <t>(Alt+F11 &gt; Importar archivo). Incluye macros para actualizar todas las tablas dinamicas</t>
        </is>
      </c>
    </row>
    <row r="47">
      <c r="A47" s="5" t="inlineStr">
        <is>
          <t>y consultas de Power Query, y para exportar el Dashboard a PDF.</t>
        </is>
      </c>
    </row>
    <row r="48">
      <c r="A48" s="5" t="inlineStr"/>
    </row>
    <row r="49">
      <c r="A49" s="10" t="inlineStr">
        <is>
          <t>MIGRACION FUTURA A POWER BI / DASHBOARD WEB</t>
        </is>
      </c>
    </row>
    <row r="50">
      <c r="A50" s="5" t="inlineStr">
        <is>
          <t>1. Conectar Power BI Desktop a este archivo (Obtener datos &gt; Excel) y seleccionar las</t>
        </is>
      </c>
    </row>
    <row r="51">
      <c r="A51" s="5" t="inlineStr">
        <is>
          <t>tablas tbl_Ingresos, tbl_Egresos, tbl_CxC, tbl_CxP, tbl_Inventario, tbl_Nomina,</t>
        </is>
      </c>
    </row>
    <row r="52">
      <c r="A52" s="5" t="inlineStr">
        <is>
          <t>tbl_ProduccionMinera y tbl_Reservas.</t>
        </is>
      </c>
    </row>
    <row r="53">
      <c r="A53" s="5" t="inlineStr">
        <is>
          <t>2. Crear un modelo en estrella: tablas de hechos (Ingresos, Egresos, Produccion) y</t>
        </is>
      </c>
    </row>
    <row r="54">
      <c r="A54" s="5" t="inlineStr">
        <is>
          <t>dimensiones (Calendario, Categorias, Centros de Costos, Clientes/Proveedores, Minas).</t>
        </is>
      </c>
    </row>
    <row r="55">
      <c r="A55" s="5" t="inlineStr">
        <is>
          <t>3. Replicar las medidas DAX equivalentes a las formulas de 09_ESTADO_RESULTADOS,</t>
        </is>
      </c>
    </row>
    <row r="56">
      <c r="A56" s="5" t="inlineStr">
        <is>
          <t>07_PUNTO_EQUILIBRIO y 19_COSTO_POR_TONELADA usando CALCULATE/SUMX.</t>
        </is>
      </c>
    </row>
    <row r="57">
      <c r="A57" s="5" t="inlineStr">
        <is>
          <t>4. Publicar el modelo en Power BI Service y configurar actualizacion programada apuntando</t>
        </is>
      </c>
    </row>
    <row r="58">
      <c r="A58" s="5" t="inlineStr">
        <is>
          <t>al archivo Excel en OneDrive/SharePoint.</t>
        </is>
      </c>
    </row>
    <row r="59">
      <c r="A59" s="5" t="inlineStr">
        <is>
          <t>5. Para un dashboard web propio, exponer las mismas consultas mediante una API</t>
        </is>
      </c>
    </row>
    <row r="60">
      <c r="A60" s="5" t="inlineStr">
        <is>
          <t>(Power Automate / Azure Functions) que lea el libro desde SharePoint y alimente un</t>
        </is>
      </c>
    </row>
    <row r="61">
      <c r="A61" s="5" t="inlineStr">
        <is>
          <t>frontend (Power Apps o aplicacion web a medida).</t>
        </is>
      </c>
    </row>
  </sheetData>
  <mergeCells count="4">
    <mergeCell ref="A3:B3"/>
    <mergeCell ref="A49:B49"/>
    <mergeCell ref="A1:B1"/>
    <mergeCell ref="A23:B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" customWidth="1" min="3" max="3"/>
    <col width="4" customWidth="1" min="4" max="4"/>
  </cols>
  <sheetData>
    <row r="1">
      <c r="A1" s="9" t="inlineStr">
        <is>
          <t>PARAMETROS GENERALES DE LA EMPRESA</t>
        </is>
      </c>
      <c r="B1" s="9" t="n"/>
      <c r="C1" s="9" t="n"/>
      <c r="D1" s="9" t="n"/>
    </row>
    <row r="3">
      <c r="A3" s="4" t="inlineStr">
        <is>
          <t>Nombre de la empresa</t>
        </is>
      </c>
      <c r="B3" s="11" t="inlineStr">
        <is>
          <t>[NOMBRE DE LA EMPRESA]</t>
        </is>
      </c>
    </row>
    <row r="4">
      <c r="A4" s="4" t="inlineStr">
        <is>
          <t>RIF</t>
        </is>
      </c>
      <c r="B4" s="11" t="inlineStr">
        <is>
          <t>J-00000000-0</t>
        </is>
      </c>
    </row>
    <row r="5">
      <c r="A5" s="4" t="inlineStr">
        <is>
          <t>Direccion</t>
        </is>
      </c>
      <c r="B5" s="11" t="inlineStr">
        <is>
          <t>[Direccion fiscal]</t>
        </is>
      </c>
    </row>
    <row r="6">
      <c r="A6" s="4" t="inlineStr">
        <is>
          <t>Moneda principal</t>
        </is>
      </c>
      <c r="B6" s="11" t="inlineStr">
        <is>
          <t>Bs</t>
        </is>
      </c>
    </row>
    <row r="7">
      <c r="A7" s="4" t="inlineStr">
        <is>
          <t>Tasa BCV (Bs/USD)</t>
        </is>
      </c>
      <c r="B7" s="12" t="n">
        <v>36.5</v>
      </c>
    </row>
    <row r="8">
      <c r="A8" s="4" t="inlineStr">
        <is>
          <t>Alicuota IVA general</t>
        </is>
      </c>
      <c r="B8" s="13" t="n">
        <v>0.16</v>
      </c>
    </row>
    <row r="9">
      <c r="A9" s="4" t="inlineStr">
        <is>
          <t>Alicuota IGTF</t>
        </is>
      </c>
      <c r="B9" s="13" t="n">
        <v>0.03</v>
      </c>
    </row>
    <row r="10">
      <c r="A10" s="4" t="inlineStr">
        <is>
          <t>Ano fiscal</t>
        </is>
      </c>
      <c r="B10" s="11" t="n">
        <v>2026</v>
      </c>
    </row>
    <row r="12">
      <c r="A12" s="14" t="inlineStr">
        <is>
          <t>CENTROS DE COSTOS</t>
        </is>
      </c>
    </row>
    <row r="13">
      <c r="A13" s="11" t="inlineStr">
        <is>
          <t>Administracion</t>
        </is>
      </c>
    </row>
    <row r="14">
      <c r="A14" s="11" t="inlineStr">
        <is>
          <t>Ventas</t>
        </is>
      </c>
    </row>
    <row r="15">
      <c r="A15" s="11" t="inlineStr">
        <is>
          <t>Produccion</t>
        </is>
      </c>
    </row>
    <row r="16">
      <c r="A16" s="11" t="inlineStr">
        <is>
          <t>Logistica</t>
        </is>
      </c>
    </row>
    <row r="17">
      <c r="A17" s="11" t="inlineStr">
        <is>
          <t>Mina</t>
        </is>
      </c>
    </row>
    <row r="19">
      <c r="A19" s="14" t="inlineStr">
        <is>
          <t>LINEAS DE NEGOCIO / PROYECTOS</t>
        </is>
      </c>
    </row>
    <row r="20">
      <c r="A20" s="11" t="inlineStr">
        <is>
          <t>Linea A</t>
        </is>
      </c>
    </row>
    <row r="21">
      <c r="A21" s="11" t="inlineStr">
        <is>
          <t>Linea B</t>
        </is>
      </c>
    </row>
    <row r="22">
      <c r="A22" s="11" t="inlineStr">
        <is>
          <t>Proyecto Minero 1</t>
        </is>
      </c>
    </row>
    <row r="24">
      <c r="A24" s="14" t="inlineStr">
        <is>
          <t>CATEGORIAS DE INGRESOS</t>
        </is>
      </c>
    </row>
    <row r="25">
      <c r="A25" s="11" t="inlineStr">
        <is>
          <t>Ventas</t>
        </is>
      </c>
    </row>
    <row r="26">
      <c r="A26" s="11" t="inlineStr">
        <is>
          <t>Servicios</t>
        </is>
      </c>
    </row>
    <row r="27">
      <c r="A27" s="11" t="inlineStr">
        <is>
          <t>Exportaciones</t>
        </is>
      </c>
    </row>
    <row r="28">
      <c r="A28" s="11" t="inlineStr">
        <is>
          <t>Otros ingresos</t>
        </is>
      </c>
    </row>
    <row r="30">
      <c r="A30" s="14" t="inlineStr">
        <is>
          <t>CATEGORIAS DE EGRESOS</t>
        </is>
      </c>
    </row>
    <row r="31">
      <c r="A31" s="11" t="inlineStr">
        <is>
          <t>Nomina</t>
        </is>
      </c>
    </row>
    <row r="32">
      <c r="A32" s="11" t="inlineStr">
        <is>
          <t>Combustible</t>
        </is>
      </c>
    </row>
    <row r="33">
      <c r="A33" s="11" t="inlineStr">
        <is>
          <t>Transporte</t>
        </is>
      </c>
    </row>
    <row r="34">
      <c r="A34" s="11" t="inlineStr">
        <is>
          <t>Mantenimiento</t>
        </is>
      </c>
    </row>
    <row r="35">
      <c r="A35" s="11" t="inlineStr">
        <is>
          <t>Servicios</t>
        </is>
      </c>
    </row>
    <row r="36">
      <c r="A36" s="11" t="inlineStr">
        <is>
          <t>Impuestos</t>
        </is>
      </c>
    </row>
    <row r="37">
      <c r="A37" s="11" t="inlineStr">
        <is>
          <t>Compras</t>
        </is>
      </c>
    </row>
    <row r="38">
      <c r="A38" s="11" t="inlineStr">
        <is>
          <t>Gastos Financieros</t>
        </is>
      </c>
    </row>
    <row r="39">
      <c r="A39" s="11" t="inlineStr">
        <is>
          <t>Otros gastos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18" customWidth="1" min="9" max="9"/>
    <col width="16" customWidth="1" min="10" max="10"/>
    <col width="4" customWidth="1" min="11" max="11"/>
    <col width="4" customWidth="1" min="12" max="12"/>
  </cols>
  <sheetData>
    <row r="1">
      <c r="A1" s="9" t="inlineStr">
        <is>
          <t>DASHBOARD EJECUTIVO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</row>
    <row r="3">
      <c r="A3" s="15" t="inlineStr">
        <is>
          <t>Ingresos del Mes (Bs.)</t>
        </is>
      </c>
      <c r="D3" s="15" t="inlineStr">
        <is>
          <t>Ingresos del Ano (Bs.)</t>
        </is>
      </c>
      <c r="G3" s="15" t="inlineStr">
        <is>
          <t>Egresos del Mes (Bs.)</t>
        </is>
      </c>
      <c r="J3" s="15" t="inlineStr">
        <is>
          <t>Egresos del Ano (Bs.)</t>
        </is>
      </c>
    </row>
    <row r="4">
      <c r="A4" s="16">
        <f>SUMPRODUCT((MONTH(tbl_Ingresos[Fecha])=MONTH(TODAY()))*(YEAR(tbl_Ingresos[Fecha])=YEAR(TODAY()))*tbl_Ingresos[Bs.])</f>
        <v/>
      </c>
      <c r="D4" s="16">
        <f>SUMPRODUCT((YEAR(tbl_Ingresos[Fecha])=YEAR(TODAY()))*tbl_Ingresos[Bs.])</f>
        <v/>
      </c>
      <c r="G4" s="16">
        <f>SUMPRODUCT((MONTH(tbl_Egresos[Fecha])=MONTH(TODAY()))*(YEAR(tbl_Egresos[Fecha])=YEAR(TODAY()))*tbl_Egresos[Bs.])</f>
        <v/>
      </c>
      <c r="J4" s="16">
        <f>SUMPRODUCT((YEAR(tbl_Egresos[Fecha])=YEAR(TODAY()))*tbl_Egresos[Bs.])</f>
        <v/>
      </c>
    </row>
    <row r="5"/>
    <row r="7">
      <c r="A7" s="15" t="inlineStr">
        <is>
          <t>Utilidad Bruta (Bs.)</t>
        </is>
      </c>
      <c r="D7" s="15" t="inlineStr">
        <is>
          <t>Utilidad Operativa (Bs.)</t>
        </is>
      </c>
      <c r="G7" s="15" t="inlineStr">
        <is>
          <t>Utilidad Neta (Bs.)</t>
        </is>
      </c>
      <c r="J7" s="15" t="inlineStr">
        <is>
          <t>EBITDA (Bs.)</t>
        </is>
      </c>
    </row>
    <row r="8">
      <c r="A8" s="16">
        <f>Utilidad_Bruta</f>
        <v/>
      </c>
      <c r="D8" s="16">
        <f>Utilidad_Operativa</f>
        <v/>
      </c>
      <c r="G8" s="16">
        <f>Utilidad_Neta</f>
        <v/>
      </c>
      <c r="J8" s="16">
        <f>Utilidad_Operativa</f>
        <v/>
      </c>
    </row>
    <row r="9"/>
    <row r="11">
      <c r="A11" s="15" t="inlineStr">
        <is>
          <t>Liquidez (veces)</t>
        </is>
      </c>
      <c r="D11" s="15" t="inlineStr">
        <is>
          <t>Capital de Trabajo (Bs.)</t>
        </is>
      </c>
      <c r="G11" s="15" t="inlineStr">
        <is>
          <t>Endeudamiento (%)</t>
        </is>
      </c>
      <c r="J11" s="15" t="inlineStr">
        <is>
          <t>Margen Neto (%)</t>
        </is>
      </c>
    </row>
    <row r="12">
      <c r="A12" s="17" t="n">
        <v>1.5</v>
      </c>
      <c r="D12" s="16" t="n">
        <v>250000</v>
      </c>
      <c r="G12" s="18" t="n">
        <v>0.45</v>
      </c>
      <c r="J12" s="18">
        <f>Utilidad_Neta/Ingresos_Totales</f>
        <v/>
      </c>
    </row>
    <row r="13"/>
    <row r="16">
      <c r="A16" s="14" t="inlineStr">
        <is>
          <t>VENTAS / INGRESOS POR CATEGORIA</t>
        </is>
      </c>
      <c r="I16" s="14" t="inlineStr">
        <is>
          <t>EGRESOS POR CATEGORIA</t>
        </is>
      </c>
    </row>
    <row r="17">
      <c r="A17" s="19" t="inlineStr">
        <is>
          <t>Ventas</t>
        </is>
      </c>
      <c r="B17" s="20">
        <f>SUMIFS(tbl_Ingresos[Bs.],tbl_Ingresos[Categoria],A17)</f>
        <v/>
      </c>
      <c r="I17" s="19" t="inlineStr">
        <is>
          <t>Nomina</t>
        </is>
      </c>
      <c r="J17" s="20">
        <f>SUMIFS(tbl_Egresos[Bs.],tbl_Egresos[Categoria],I17)</f>
        <v/>
      </c>
    </row>
    <row r="18">
      <c r="A18" s="19" t="inlineStr">
        <is>
          <t>Servicios</t>
        </is>
      </c>
      <c r="B18" s="20">
        <f>SUMIFS(tbl_Ingresos[Bs.],tbl_Ingresos[Categoria],A18)</f>
        <v/>
      </c>
      <c r="I18" s="19" t="inlineStr">
        <is>
          <t>Combustible</t>
        </is>
      </c>
      <c r="J18" s="20">
        <f>SUMIFS(tbl_Egresos[Bs.],tbl_Egresos[Categoria],I18)</f>
        <v/>
      </c>
    </row>
    <row r="19">
      <c r="A19" s="19" t="inlineStr">
        <is>
          <t>Exportaciones</t>
        </is>
      </c>
      <c r="B19" s="20">
        <f>SUMIFS(tbl_Ingresos[Bs.],tbl_Ingresos[Categoria],A19)</f>
        <v/>
      </c>
      <c r="I19" s="19" t="inlineStr">
        <is>
          <t>Transporte</t>
        </is>
      </c>
      <c r="J19" s="20">
        <f>SUMIFS(tbl_Egresos[Bs.],tbl_Egresos[Categoria],I19)</f>
        <v/>
      </c>
    </row>
    <row r="20">
      <c r="A20" s="19" t="inlineStr">
        <is>
          <t>Otros ingresos</t>
        </is>
      </c>
      <c r="B20" s="20">
        <f>SUMIFS(tbl_Ingresos[Bs.],tbl_Ingresos[Categoria],A20)</f>
        <v/>
      </c>
      <c r="I20" s="19" t="inlineStr">
        <is>
          <t>Mantenimiento</t>
        </is>
      </c>
      <c r="J20" s="20">
        <f>SUMIFS(tbl_Egresos[Bs.],tbl_Egresos[Categoria],I20)</f>
        <v/>
      </c>
    </row>
    <row r="21">
      <c r="I21" s="19" t="inlineStr">
        <is>
          <t>Servicios</t>
        </is>
      </c>
      <c r="J21" s="20">
        <f>SUMIFS(tbl_Egresos[Bs.],tbl_Egresos[Categoria],I21)</f>
        <v/>
      </c>
    </row>
    <row r="22">
      <c r="I22" s="19" t="inlineStr">
        <is>
          <t>Impuestos</t>
        </is>
      </c>
      <c r="J22" s="20">
        <f>SUMIFS(tbl_Egresos[Bs.],tbl_Egresos[Categoria],I22)</f>
        <v/>
      </c>
    </row>
    <row r="23">
      <c r="I23" s="19" t="inlineStr">
        <is>
          <t>Compras</t>
        </is>
      </c>
      <c r="J23" s="20">
        <f>SUMIFS(tbl_Egresos[Bs.],tbl_Egresos[Categoria],I23)</f>
        <v/>
      </c>
    </row>
    <row r="24">
      <c r="I24" s="19" t="inlineStr">
        <is>
          <t>Gastos Financieros</t>
        </is>
      </c>
      <c r="J24" s="20">
        <f>SUMIFS(tbl_Egresos[Bs.],tbl_Egresos[Categoria],I24)</f>
        <v/>
      </c>
    </row>
    <row r="25">
      <c r="I25" s="19" t="inlineStr">
        <is>
          <t>Otros gastos</t>
        </is>
      </c>
      <c r="J25" s="20">
        <f>SUMIFS(tbl_Egresos[Bs.],tbl_Egresos[Categoria],I25)</f>
        <v/>
      </c>
    </row>
    <row r="28">
      <c r="A28" s="14" t="inlineStr">
        <is>
          <t>SEMAFORO DE LIQUIDEZ</t>
        </is>
      </c>
    </row>
    <row r="29">
      <c r="A29" t="inlineStr">
        <is>
          <t>Liquidez actual</t>
        </is>
      </c>
      <c r="B29" s="21">
        <f>B12</f>
        <v/>
      </c>
      <c r="C29" s="4">
        <f>IF(B29&gt;=1.5,"VERDE",IF(B29&gt;=1,"AMARILLO","ROJO"))</f>
        <v/>
      </c>
    </row>
  </sheetData>
  <mergeCells count="25">
    <mergeCell ref="D11:F11"/>
    <mergeCell ref="A3:C3"/>
    <mergeCell ref="G3:I3"/>
    <mergeCell ref="J8:L9"/>
    <mergeCell ref="D7:F7"/>
    <mergeCell ref="G12:I13"/>
    <mergeCell ref="J11:L11"/>
    <mergeCell ref="J7:L7"/>
    <mergeCell ref="D3:F3"/>
    <mergeCell ref="G8:I9"/>
    <mergeCell ref="J3:L3"/>
    <mergeCell ref="D4:F5"/>
    <mergeCell ref="J4:L5"/>
    <mergeCell ref="A12:C13"/>
    <mergeCell ref="G11:I11"/>
    <mergeCell ref="D12:F13"/>
    <mergeCell ref="A11:C11"/>
    <mergeCell ref="A1:L1"/>
    <mergeCell ref="A8:C9"/>
    <mergeCell ref="A4:C5"/>
    <mergeCell ref="G4:I5"/>
    <mergeCell ref="A7:C7"/>
    <mergeCell ref="G7:I7"/>
    <mergeCell ref="J12:L13"/>
    <mergeCell ref="D8:F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>
      <c r="A1" s="9" t="inlineStr">
        <is>
          <t>04 INGRESOS</t>
        </is>
      </c>
      <c r="B1" s="9" t="n"/>
      <c r="C1" s="9" t="n"/>
      <c r="D1" s="9" t="n"/>
      <c r="E1" s="9" t="n"/>
      <c r="F1" s="9" t="n"/>
      <c r="G1" s="9" t="n"/>
    </row>
    <row r="3">
      <c r="A3" s="22" t="inlineStr">
        <is>
          <t>Fecha</t>
        </is>
      </c>
      <c r="B3" s="22" t="inlineStr">
        <is>
          <t>Cliente</t>
        </is>
      </c>
      <c r="C3" s="22" t="inlineStr">
        <is>
          <t>Concepto</t>
        </is>
      </c>
      <c r="D3" s="22" t="inlineStr">
        <is>
          <t>Categoria</t>
        </is>
      </c>
      <c r="E3" s="22" t="inlineStr">
        <is>
          <t>Centro de Costos</t>
        </is>
      </c>
      <c r="F3" s="22" t="inlineStr">
        <is>
          <t>Bs.</t>
        </is>
      </c>
      <c r="G3" s="22" t="inlineStr">
        <is>
          <t>USD</t>
        </is>
      </c>
    </row>
    <row r="4">
      <c r="A4" s="23" t="n">
        <v>46027</v>
      </c>
      <c r="B4" s="19" t="inlineStr">
        <is>
          <t>Cliente A</t>
        </is>
      </c>
      <c r="C4" s="19" t="inlineStr">
        <is>
          <t>Venta de producto X</t>
        </is>
      </c>
      <c r="D4" s="19" t="inlineStr">
        <is>
          <t>Ventas</t>
        </is>
      </c>
      <c r="E4" s="19" t="inlineStr">
        <is>
          <t>Ventas</t>
        </is>
      </c>
      <c r="F4" s="20" t="n">
        <v>45000</v>
      </c>
      <c r="G4" s="24">
        <f>F4/Tasa_BCV</f>
        <v/>
      </c>
    </row>
    <row r="5">
      <c r="A5" s="23" t="n">
        <v>46034</v>
      </c>
      <c r="B5" s="19" t="inlineStr">
        <is>
          <t>Cliente B</t>
        </is>
      </c>
      <c r="C5" s="19" t="inlineStr">
        <is>
          <t>Servicio de mantenimiento</t>
        </is>
      </c>
      <c r="D5" s="19" t="inlineStr">
        <is>
          <t>Servicios</t>
        </is>
      </c>
      <c r="E5" s="19" t="inlineStr">
        <is>
          <t>Produccion</t>
        </is>
      </c>
      <c r="F5" s="20" t="n">
        <v>18000</v>
      </c>
      <c r="G5" s="24">
        <f>F5/Tasa_BCV</f>
        <v/>
      </c>
    </row>
    <row r="6">
      <c r="A6" s="23" t="n">
        <v>46056</v>
      </c>
      <c r="B6" s="19" t="inlineStr">
        <is>
          <t>Cliente C</t>
        </is>
      </c>
      <c r="C6" s="19" t="inlineStr">
        <is>
          <t>Exportacion lote 1</t>
        </is>
      </c>
      <c r="D6" s="19" t="inlineStr">
        <is>
          <t>Exportaciones</t>
        </is>
      </c>
      <c r="E6" s="19" t="inlineStr">
        <is>
          <t>Logistica</t>
        </is>
      </c>
      <c r="F6" s="20" t="n">
        <v>120000</v>
      </c>
      <c r="G6" s="24">
        <f>F6/Tasa_BCV</f>
        <v/>
      </c>
    </row>
    <row r="7">
      <c r="A7" s="23" t="n">
        <v>46073</v>
      </c>
      <c r="B7" s="19" t="inlineStr">
        <is>
          <t>Cliente A</t>
        </is>
      </c>
      <c r="C7" s="19" t="inlineStr">
        <is>
          <t>Venta de producto Y</t>
        </is>
      </c>
      <c r="D7" s="19" t="inlineStr">
        <is>
          <t>Ventas</t>
        </is>
      </c>
      <c r="E7" s="19" t="inlineStr">
        <is>
          <t>Ventas</t>
        </is>
      </c>
      <c r="F7" s="20" t="n">
        <v>60000</v>
      </c>
      <c r="G7" s="24">
        <f>F7/Tasa_BCV</f>
        <v/>
      </c>
    </row>
    <row r="8">
      <c r="A8" s="23" t="n">
        <v>46089</v>
      </c>
      <c r="B8" s="19" t="inlineStr">
        <is>
          <t>Cliente D</t>
        </is>
      </c>
      <c r="C8" s="19" t="inlineStr">
        <is>
          <t>Otros ingresos varios</t>
        </is>
      </c>
      <c r="D8" s="19" t="inlineStr">
        <is>
          <t>Otros ingresos</t>
        </is>
      </c>
      <c r="E8" s="19" t="inlineStr">
        <is>
          <t>Administracion</t>
        </is>
      </c>
      <c r="F8" s="20" t="n">
        <v>5000</v>
      </c>
      <c r="G8" s="24">
        <f>F8/Tasa_BCV</f>
        <v/>
      </c>
    </row>
    <row r="9">
      <c r="A9" s="23" t="n">
        <v>46096</v>
      </c>
      <c r="B9" s="19" t="inlineStr">
        <is>
          <t>Cliente B</t>
        </is>
      </c>
      <c r="C9" s="19" t="inlineStr">
        <is>
          <t>Venta de producto X</t>
        </is>
      </c>
      <c r="D9" s="19" t="inlineStr">
        <is>
          <t>Ventas</t>
        </is>
      </c>
      <c r="E9" s="19" t="inlineStr">
        <is>
          <t>Ventas</t>
        </is>
      </c>
      <c r="F9" s="20" t="n">
        <v>75000</v>
      </c>
      <c r="G9" s="24">
        <f>F9/Tasa_BCV</f>
        <v/>
      </c>
    </row>
    <row r="10">
      <c r="A10" s="23" t="n">
        <v>46114</v>
      </c>
      <c r="B10" s="19" t="inlineStr">
        <is>
          <t>Cliente E</t>
        </is>
      </c>
      <c r="C10" s="19" t="inlineStr">
        <is>
          <t>Servicio tecnico</t>
        </is>
      </c>
      <c r="D10" s="19" t="inlineStr">
        <is>
          <t>Servicios</t>
        </is>
      </c>
      <c r="E10" s="19" t="inlineStr">
        <is>
          <t>Produccion</t>
        </is>
      </c>
      <c r="F10" s="20" t="n">
        <v>22000</v>
      </c>
      <c r="G10" s="24">
        <f>F10/Tasa_BCV</f>
        <v/>
      </c>
    </row>
    <row r="11">
      <c r="A11" s="23" t="n">
        <v>46130</v>
      </c>
      <c r="B11" s="19" t="inlineStr">
        <is>
          <t>Cliente C</t>
        </is>
      </c>
      <c r="C11" s="19" t="inlineStr">
        <is>
          <t>Exportacion lote 2</t>
        </is>
      </c>
      <c r="D11" s="19" t="inlineStr">
        <is>
          <t>Exportaciones</t>
        </is>
      </c>
      <c r="E11" s="19" t="inlineStr">
        <is>
          <t>Logistica</t>
        </is>
      </c>
      <c r="F11" s="20" t="n">
        <v>135000</v>
      </c>
      <c r="G11" s="24">
        <f>F11/Tasa_BCV</f>
        <v/>
      </c>
    </row>
    <row r="12">
      <c r="A12" s="23" t="n">
        <v>46152</v>
      </c>
      <c r="B12" s="19" t="inlineStr">
        <is>
          <t>Cliente A</t>
        </is>
      </c>
      <c r="C12" s="19" t="inlineStr">
        <is>
          <t>Venta de producto Z</t>
        </is>
      </c>
      <c r="D12" s="19" t="inlineStr">
        <is>
          <t>Ventas</t>
        </is>
      </c>
      <c r="E12" s="19" t="inlineStr">
        <is>
          <t>Ventas</t>
        </is>
      </c>
      <c r="F12" s="20" t="n">
        <v>80000</v>
      </c>
      <c r="G12" s="24">
        <f>F12/Tasa_BCV</f>
        <v/>
      </c>
    </row>
    <row r="13">
      <c r="A13" s="23" t="n">
        <v>46167</v>
      </c>
      <c r="B13" s="19" t="inlineStr">
        <is>
          <t>Cliente F</t>
        </is>
      </c>
      <c r="C13" s="19" t="inlineStr">
        <is>
          <t>Servicio de consultoria</t>
        </is>
      </c>
      <c r="D13" s="19" t="inlineStr">
        <is>
          <t>Servicios</t>
        </is>
      </c>
      <c r="E13" s="19" t="inlineStr">
        <is>
          <t>Administracion</t>
        </is>
      </c>
      <c r="F13" s="20" t="n">
        <v>30000</v>
      </c>
      <c r="G13" s="24">
        <f>F13/Tasa_BCV</f>
        <v/>
      </c>
    </row>
    <row r="14">
      <c r="A14" s="23" t="n">
        <v>46174</v>
      </c>
      <c r="B14" s="19" t="inlineStr">
        <is>
          <t>Cliente B</t>
        </is>
      </c>
      <c r="C14" s="19" t="inlineStr">
        <is>
          <t>Venta mensual</t>
        </is>
      </c>
      <c r="D14" s="19" t="inlineStr">
        <is>
          <t>Ventas</t>
        </is>
      </c>
      <c r="E14" s="19" t="inlineStr">
        <is>
          <t>Ventas</t>
        </is>
      </c>
      <c r="F14" s="20" t="n">
        <v>90000</v>
      </c>
      <c r="G14" s="24">
        <f>F14/Tasa_BCV</f>
        <v/>
      </c>
    </row>
    <row r="15">
      <c r="A15" s="23" t="n">
        <v>46182</v>
      </c>
      <c r="B15" s="19" t="inlineStr">
        <is>
          <t>Cliente C</t>
        </is>
      </c>
      <c r="C15" s="19" t="inlineStr">
        <is>
          <t>Exportacion lote 3</t>
        </is>
      </c>
      <c r="D15" s="19" t="inlineStr">
        <is>
          <t>Exportaciones</t>
        </is>
      </c>
      <c r="E15" s="19" t="inlineStr">
        <is>
          <t>Logistica</t>
        </is>
      </c>
      <c r="F15" s="20" t="n">
        <v>150000</v>
      </c>
      <c r="G15" s="24">
        <f>F15/Tasa_BCV</f>
        <v/>
      </c>
    </row>
    <row r="17">
      <c r="E17" s="25" t="inlineStr">
        <is>
          <t>TOTAL</t>
        </is>
      </c>
      <c r="F17" s="26">
        <f>SUBTOTAL(109,tbl_Ingresos[Bs.])</f>
        <v/>
      </c>
      <c r="G17" s="27">
        <f>SUBTOTAL(109,tbl_Ingresos[USD])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  <col width="18" customWidth="1" min="5" max="5"/>
    <col width="16" customWidth="1" min="6" max="6"/>
    <col width="14" customWidth="1" min="7" max="7"/>
  </cols>
  <sheetData>
    <row r="1">
      <c r="A1" s="9" t="inlineStr">
        <is>
          <t>05 EGRESOS</t>
        </is>
      </c>
      <c r="B1" s="9" t="n"/>
      <c r="C1" s="9" t="n"/>
      <c r="D1" s="9" t="n"/>
      <c r="E1" s="9" t="n"/>
      <c r="F1" s="9" t="n"/>
      <c r="G1" s="9" t="n"/>
    </row>
    <row r="3">
      <c r="A3" s="22" t="inlineStr">
        <is>
          <t>Fecha</t>
        </is>
      </c>
      <c r="B3" s="22" t="inlineStr">
        <is>
          <t>Proveedor</t>
        </is>
      </c>
      <c r="C3" s="22" t="inlineStr">
        <is>
          <t>Concepto</t>
        </is>
      </c>
      <c r="D3" s="22" t="inlineStr">
        <is>
          <t>Categoria</t>
        </is>
      </c>
      <c r="E3" s="22" t="inlineStr">
        <is>
          <t>Centro de Costos</t>
        </is>
      </c>
      <c r="F3" s="22" t="inlineStr">
        <is>
          <t>Bs.</t>
        </is>
      </c>
      <c r="G3" s="22" t="inlineStr">
        <is>
          <t>USD</t>
        </is>
      </c>
    </row>
    <row r="4">
      <c r="A4" s="23" t="n">
        <v>46027</v>
      </c>
      <c r="B4" s="19" t="inlineStr">
        <is>
          <t>Nomina</t>
        </is>
      </c>
      <c r="C4" s="19" t="inlineStr">
        <is>
          <t>Pago quincenal nomina</t>
        </is>
      </c>
      <c r="D4" s="19" t="inlineStr">
        <is>
          <t>Nomina</t>
        </is>
      </c>
      <c r="E4" s="19" t="inlineStr">
        <is>
          <t>Administracion</t>
        </is>
      </c>
      <c r="F4" s="20" t="n">
        <v>30000</v>
      </c>
      <c r="G4" s="24">
        <f>F4/Tasa_BCV</f>
        <v/>
      </c>
    </row>
    <row r="5">
      <c r="A5" s="23" t="n">
        <v>46032</v>
      </c>
      <c r="B5" s="19" t="inlineStr">
        <is>
          <t>PDVSA</t>
        </is>
      </c>
      <c r="C5" s="19" t="inlineStr">
        <is>
          <t>Combustible flota</t>
        </is>
      </c>
      <c r="D5" s="19" t="inlineStr">
        <is>
          <t>Combustible</t>
        </is>
      </c>
      <c r="E5" s="19" t="inlineStr">
        <is>
          <t>Logistica</t>
        </is>
      </c>
      <c r="F5" s="20" t="n">
        <v>8000</v>
      </c>
      <c r="G5" s="24">
        <f>F5/Tasa_BCV</f>
        <v/>
      </c>
    </row>
    <row r="6">
      <c r="A6" s="23" t="n">
        <v>46042</v>
      </c>
      <c r="B6" s="19" t="inlineStr">
        <is>
          <t>Transportes XYZ</t>
        </is>
      </c>
      <c r="C6" s="19" t="inlineStr">
        <is>
          <t>Flete materiales</t>
        </is>
      </c>
      <c r="D6" s="19" t="inlineStr">
        <is>
          <t>Transporte</t>
        </is>
      </c>
      <c r="E6" s="19" t="inlineStr">
        <is>
          <t>Logistica</t>
        </is>
      </c>
      <c r="F6" s="20" t="n">
        <v>6000</v>
      </c>
      <c r="G6" s="24">
        <f>F6/Tasa_BCV</f>
        <v/>
      </c>
    </row>
    <row r="7">
      <c r="A7" s="23" t="n">
        <v>46058</v>
      </c>
      <c r="B7" s="19" t="inlineStr">
        <is>
          <t>Nomina</t>
        </is>
      </c>
      <c r="C7" s="19" t="inlineStr">
        <is>
          <t>Pago quincenal nomina</t>
        </is>
      </c>
      <c r="D7" s="19" t="inlineStr">
        <is>
          <t>Nomina</t>
        </is>
      </c>
      <c r="E7" s="19" t="inlineStr">
        <is>
          <t>Administracion</t>
        </is>
      </c>
      <c r="F7" s="20" t="n">
        <v>30000</v>
      </c>
      <c r="G7" s="24">
        <f>F7/Tasa_BCV</f>
        <v/>
      </c>
    </row>
    <row r="8">
      <c r="A8" s="23" t="n">
        <v>46061</v>
      </c>
      <c r="B8" s="19" t="inlineStr">
        <is>
          <t>Taller Mecanico</t>
        </is>
      </c>
      <c r="C8" s="19" t="inlineStr">
        <is>
          <t>Mantenimiento equipos</t>
        </is>
      </c>
      <c r="D8" s="19" t="inlineStr">
        <is>
          <t>Mantenimiento</t>
        </is>
      </c>
      <c r="E8" s="19" t="inlineStr">
        <is>
          <t>Produccion</t>
        </is>
      </c>
      <c r="F8" s="20" t="n">
        <v>9000</v>
      </c>
      <c r="G8" s="24">
        <f>F8/Tasa_BCV</f>
        <v/>
      </c>
    </row>
    <row r="9">
      <c r="A9" s="23" t="n">
        <v>46081</v>
      </c>
      <c r="B9" s="19" t="inlineStr">
        <is>
          <t>SENIAT</t>
        </is>
      </c>
      <c r="C9" s="19" t="inlineStr">
        <is>
          <t>IVA del periodo</t>
        </is>
      </c>
      <c r="D9" s="19" t="inlineStr">
        <is>
          <t>Impuestos</t>
        </is>
      </c>
      <c r="E9" s="19" t="inlineStr">
        <is>
          <t>Administracion</t>
        </is>
      </c>
      <c r="F9" s="20" t="n">
        <v>12000</v>
      </c>
      <c r="G9" s="24">
        <f>F9/Tasa_BCV</f>
        <v/>
      </c>
    </row>
    <row r="10">
      <c r="A10" s="23" t="n">
        <v>46086</v>
      </c>
      <c r="B10" s="19" t="inlineStr">
        <is>
          <t>Nomina</t>
        </is>
      </c>
      <c r="C10" s="19" t="inlineStr">
        <is>
          <t>Pago quincenal nomina</t>
        </is>
      </c>
      <c r="D10" s="19" t="inlineStr">
        <is>
          <t>Nomina</t>
        </is>
      </c>
      <c r="E10" s="19" t="inlineStr">
        <is>
          <t>Administracion</t>
        </is>
      </c>
      <c r="F10" s="20" t="n">
        <v>31000</v>
      </c>
      <c r="G10" s="24">
        <f>F10/Tasa_BCV</f>
        <v/>
      </c>
    </row>
    <row r="11">
      <c r="A11" s="23" t="n">
        <v>46096</v>
      </c>
      <c r="B11" s="19" t="inlineStr">
        <is>
          <t>Proveedor Insumos</t>
        </is>
      </c>
      <c r="C11" s="19" t="inlineStr">
        <is>
          <t>Compra materia prima</t>
        </is>
      </c>
      <c r="D11" s="19" t="inlineStr">
        <is>
          <t>Compras</t>
        </is>
      </c>
      <c r="E11" s="19" t="inlineStr">
        <is>
          <t>Produccion</t>
        </is>
      </c>
      <c r="F11" s="20" t="n">
        <v>40000</v>
      </c>
      <c r="G11" s="24">
        <f>F11/Tasa_BCV</f>
        <v/>
      </c>
    </row>
    <row r="12">
      <c r="A12" s="23" t="n">
        <v>46111</v>
      </c>
      <c r="B12" s="19" t="inlineStr">
        <is>
          <t>Banco</t>
        </is>
      </c>
      <c r="C12" s="19" t="inlineStr">
        <is>
          <t>Intereses prestamo</t>
        </is>
      </c>
      <c r="D12" s="19" t="inlineStr">
        <is>
          <t>Gastos Financieros</t>
        </is>
      </c>
      <c r="E12" s="19" t="inlineStr">
        <is>
          <t>Administracion</t>
        </is>
      </c>
      <c r="F12" s="20" t="n">
        <v>4000</v>
      </c>
      <c r="G12" s="24">
        <f>F12/Tasa_BCV</f>
        <v/>
      </c>
    </row>
    <row r="13">
      <c r="A13" s="23" t="n">
        <v>46117</v>
      </c>
      <c r="B13" s="19" t="inlineStr">
        <is>
          <t>Nomina</t>
        </is>
      </c>
      <c r="C13" s="19" t="inlineStr">
        <is>
          <t>Pago quincenal nomina</t>
        </is>
      </c>
      <c r="D13" s="19" t="inlineStr">
        <is>
          <t>Nomina</t>
        </is>
      </c>
      <c r="E13" s="19" t="inlineStr">
        <is>
          <t>Administracion</t>
        </is>
      </c>
      <c r="F13" s="20" t="n">
        <v>31000</v>
      </c>
      <c r="G13" s="24">
        <f>F13/Tasa_BCV</f>
        <v/>
      </c>
    </row>
    <row r="14">
      <c r="A14" s="23" t="n">
        <v>46124</v>
      </c>
      <c r="B14" s="19" t="inlineStr">
        <is>
          <t>Electricidad CORPOELEC</t>
        </is>
      </c>
      <c r="C14" s="19" t="inlineStr">
        <is>
          <t>Servicio electrico</t>
        </is>
      </c>
      <c r="D14" s="19" t="inlineStr">
        <is>
          <t>Servicios</t>
        </is>
      </c>
      <c r="E14" s="19" t="inlineStr">
        <is>
          <t>Produccion</t>
        </is>
      </c>
      <c r="F14" s="20" t="n">
        <v>7000</v>
      </c>
      <c r="G14" s="24">
        <f>F14/Tasa_BCV</f>
        <v/>
      </c>
    </row>
    <row r="15">
      <c r="A15" s="23" t="n">
        <v>46147</v>
      </c>
      <c r="B15" s="19" t="inlineStr">
        <is>
          <t>Nomina</t>
        </is>
      </c>
      <c r="C15" s="19" t="inlineStr">
        <is>
          <t>Pago quincenal nomina</t>
        </is>
      </c>
      <c r="D15" s="19" t="inlineStr">
        <is>
          <t>Nomina</t>
        </is>
      </c>
      <c r="E15" s="19" t="inlineStr">
        <is>
          <t>Administracion</t>
        </is>
      </c>
      <c r="F15" s="20" t="n">
        <v>32000</v>
      </c>
      <c r="G15" s="24">
        <f>F15/Tasa_BCV</f>
        <v/>
      </c>
    </row>
    <row r="16">
      <c r="A16" s="23" t="n">
        <v>46160</v>
      </c>
      <c r="B16" s="19" t="inlineStr">
        <is>
          <t>Proveedor Insumos</t>
        </is>
      </c>
      <c r="C16" s="19" t="inlineStr">
        <is>
          <t>Compra materia prima</t>
        </is>
      </c>
      <c r="D16" s="19" t="inlineStr">
        <is>
          <t>Compras</t>
        </is>
      </c>
      <c r="E16" s="19" t="inlineStr">
        <is>
          <t>Produccion</t>
        </is>
      </c>
      <c r="F16" s="20" t="n">
        <v>45000</v>
      </c>
      <c r="G16" s="24">
        <f>F16/Tasa_BCV</f>
        <v/>
      </c>
    </row>
    <row r="17">
      <c r="A17" s="23" t="n">
        <v>46174</v>
      </c>
      <c r="B17" s="19" t="inlineStr">
        <is>
          <t>Nomina</t>
        </is>
      </c>
      <c r="C17" s="19" t="inlineStr">
        <is>
          <t>Pago quincenal nomina</t>
        </is>
      </c>
      <c r="D17" s="19" t="inlineStr">
        <is>
          <t>Nomina</t>
        </is>
      </c>
      <c r="E17" s="19" t="inlineStr">
        <is>
          <t>Administracion</t>
        </is>
      </c>
      <c r="F17" s="20" t="n">
        <v>32000</v>
      </c>
      <c r="G17" s="24">
        <f>F17/Tasa_BCV</f>
        <v/>
      </c>
    </row>
    <row r="18">
      <c r="A18" s="23" t="n">
        <v>46181</v>
      </c>
      <c r="B18" s="19" t="inlineStr">
        <is>
          <t>PDVSA</t>
        </is>
      </c>
      <c r="C18" s="19" t="inlineStr">
        <is>
          <t>Combustible flota</t>
        </is>
      </c>
      <c r="D18" s="19" t="inlineStr">
        <is>
          <t>Combustible</t>
        </is>
      </c>
      <c r="E18" s="19" t="inlineStr">
        <is>
          <t>Logistica</t>
        </is>
      </c>
      <c r="F18" s="20" t="n">
        <v>9000</v>
      </c>
      <c r="G18" s="24">
        <f>F18/Tasa_BCV</f>
        <v/>
      </c>
    </row>
    <row r="20">
      <c r="E20" s="25" t="inlineStr">
        <is>
          <t>TOTAL</t>
        </is>
      </c>
      <c r="F20" s="26">
        <f>SUBTOTAL(109,tbl_Egresos[Bs.])</f>
        <v/>
      </c>
      <c r="G20" s="27">
        <f>SUBTOTAL(109,tbl_Egresos[USD])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  <col width="4" customWidth="1" min="4" max="4"/>
  </cols>
  <sheetData>
    <row r="1">
      <c r="A1" s="9" t="inlineStr">
        <is>
          <t>ESTRUCTURA DE COSTOS</t>
        </is>
      </c>
      <c r="B1" s="9" t="n"/>
      <c r="C1" s="9" t="n"/>
      <c r="D1" s="9" t="n"/>
    </row>
    <row r="3">
      <c r="A3" s="10" t="inlineStr">
        <is>
          <t>COSTOS FIJOS MENSUALES</t>
        </is>
      </c>
    </row>
    <row r="4">
      <c r="A4" s="5" t="inlineStr">
        <is>
          <t>Nomina administrativa</t>
        </is>
      </c>
      <c r="B4" s="20" t="n">
        <v>32000</v>
      </c>
    </row>
    <row r="5">
      <c r="A5" s="5" t="inlineStr">
        <is>
          <t>Seguros</t>
        </is>
      </c>
      <c r="B5" s="20" t="n">
        <v>3000</v>
      </c>
    </row>
    <row r="6">
      <c r="A6" s="5" t="inlineStr">
        <is>
          <t>Arrendamientos</t>
        </is>
      </c>
      <c r="B6" s="20" t="n">
        <v>8000</v>
      </c>
    </row>
    <row r="7">
      <c r="A7" s="5" t="inlineStr">
        <is>
          <t>Servicios (luz, agua, internet)</t>
        </is>
      </c>
      <c r="B7" s="20" t="n">
        <v>4000</v>
      </c>
    </row>
    <row r="8">
      <c r="A8" s="4" t="inlineStr">
        <is>
          <t>TOTAL COSTOS FIJOS</t>
        </is>
      </c>
      <c r="B8" s="28">
        <f>SUM(B4:B7)</f>
        <v/>
      </c>
    </row>
    <row r="10">
      <c r="A10" s="10" t="inlineStr">
        <is>
          <t>COSTOS VARIABLES (por unidad)</t>
        </is>
      </c>
    </row>
    <row r="11">
      <c r="A11" s="5" t="inlineStr">
        <is>
          <t>Materia prima</t>
        </is>
      </c>
      <c r="B11" s="20" t="n">
        <v>80</v>
      </c>
    </row>
    <row r="12">
      <c r="A12" s="5" t="inlineStr">
        <is>
          <t>Transporte</t>
        </is>
      </c>
      <c r="B12" s="20" t="n">
        <v>15</v>
      </c>
    </row>
    <row r="13">
      <c r="A13" s="5" t="inlineStr">
        <is>
          <t>Combustible</t>
        </is>
      </c>
      <c r="B13" s="20" t="n">
        <v>10</v>
      </c>
    </row>
    <row r="14">
      <c r="A14" s="5" t="inlineStr">
        <is>
          <t>Comercializacion</t>
        </is>
      </c>
      <c r="B14" s="20" t="n">
        <v>5</v>
      </c>
    </row>
    <row r="15">
      <c r="A15" s="4" t="inlineStr">
        <is>
          <t>COSTO VARIABLE UNITARIO TOTAL</t>
        </is>
      </c>
      <c r="B15" s="28">
        <f>SUM(B11:B14)</f>
        <v/>
      </c>
    </row>
    <row r="17">
      <c r="A17" s="4" t="inlineStr">
        <is>
          <t>PRECIO DE VENTA UNITARIO</t>
        </is>
      </c>
      <c r="B17" s="29" t="n">
        <v>180</v>
      </c>
    </row>
    <row r="18">
      <c r="A18" s="4" t="inlineStr">
        <is>
          <t>UNIDADES VENDIDAS (mes)</t>
        </is>
      </c>
      <c r="B18" s="2" t="n">
        <v>1200</v>
      </c>
    </row>
  </sheetData>
  <mergeCells count="3">
    <mergeCell ref="A1:D1"/>
    <mergeCell ref="A3:B3"/>
    <mergeCell ref="A10:B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PUNTO DE EQUILIBRIO</t>
        </is>
      </c>
      <c r="B1" s="9" t="n"/>
      <c r="C1" s="9" t="n"/>
      <c r="D1" s="9" t="n"/>
    </row>
    <row r="4">
      <c r="A4" s="4" t="inlineStr">
        <is>
          <t>Costos Fijos (Bs.)</t>
        </is>
      </c>
      <c r="B4" s="12">
        <f>Costos_Fijos</f>
        <v/>
      </c>
    </row>
    <row r="5">
      <c r="A5" s="4" t="inlineStr">
        <is>
          <t>Precio de Venta Unitario (Bs.)</t>
        </is>
      </c>
      <c r="B5" s="12">
        <f>Precio_Venta_Unitario</f>
        <v/>
      </c>
    </row>
    <row r="6">
      <c r="A6" s="4" t="inlineStr">
        <is>
          <t>Costo Variable Unitario (Bs.)</t>
        </is>
      </c>
      <c r="B6" s="12">
        <f>Costo_Var_Unitario</f>
        <v/>
      </c>
    </row>
    <row r="7">
      <c r="A7" s="4" t="inlineStr">
        <is>
          <t>Margen de Contribucion Unitario (Bs.)</t>
        </is>
      </c>
      <c r="B7" s="12">
        <f>B5-B6</f>
        <v/>
      </c>
    </row>
    <row r="8">
      <c r="A8" s="4" t="inlineStr">
        <is>
          <t>Punto de Equilibrio (unidades)</t>
        </is>
      </c>
      <c r="B8" s="30">
        <f>B4/B7</f>
        <v/>
      </c>
    </row>
    <row r="9">
      <c r="A9" s="4" t="inlineStr">
        <is>
          <t>Punto de Equilibrio (Bs.)</t>
        </is>
      </c>
      <c r="B9" s="12">
        <f>B8*B5</f>
        <v/>
      </c>
    </row>
    <row r="10">
      <c r="A10" s="4" t="inlineStr">
        <is>
          <t>Punto de Equilibrio (USD)</t>
        </is>
      </c>
      <c r="B10" s="31">
        <f>B9/Tasa_BCV</f>
        <v/>
      </c>
    </row>
    <row r="11">
      <c r="A11" s="4" t="inlineStr">
        <is>
          <t>Unidades Vendidas Actuales</t>
        </is>
      </c>
      <c r="B11" s="30">
        <f>Unidades_Vendidas</f>
        <v/>
      </c>
    </row>
    <row r="12">
      <c r="A12" s="4" t="inlineStr">
        <is>
          <t>Margen de Seguridad (unidades)</t>
        </is>
      </c>
      <c r="B12" s="30">
        <f>B11-B8</f>
        <v/>
      </c>
    </row>
    <row r="13">
      <c r="A13" s="4" t="inlineStr">
        <is>
          <t>Margen de Seguridad (%)</t>
        </is>
      </c>
      <c r="B13" s="13">
        <f>B12/B11</f>
        <v/>
      </c>
    </row>
    <row r="15">
      <c r="A15" s="10" t="inlineStr">
        <is>
          <t>SIMULACION DE ESCENARIOS</t>
        </is>
      </c>
    </row>
    <row r="16">
      <c r="A16" s="22" t="inlineStr">
        <is>
          <t>Escenario</t>
        </is>
      </c>
      <c r="B16" s="22" t="inlineStr">
        <is>
          <t>Var. Precio (%)</t>
        </is>
      </c>
      <c r="C16" s="22" t="inlineStr">
        <is>
          <t>Var. Costo Var. (%)</t>
        </is>
      </c>
      <c r="D16" s="22" t="inlineStr">
        <is>
          <t>Nuevo PE (unid.)</t>
        </is>
      </c>
    </row>
    <row r="17">
      <c r="A17" s="19" t="inlineStr">
        <is>
          <t>Optimista</t>
        </is>
      </c>
      <c r="B17" s="32" t="n">
        <v>0.1</v>
      </c>
      <c r="C17" s="32" t="n">
        <v>-0.05</v>
      </c>
      <c r="D17" s="33">
        <f>$B$4/(($B$5*(1+B17))-($B$6*(1+C17)))</f>
        <v/>
      </c>
    </row>
    <row r="18">
      <c r="A18" s="19" t="inlineStr">
        <is>
          <t>Base</t>
        </is>
      </c>
      <c r="B18" s="32" t="n">
        <v>0</v>
      </c>
      <c r="C18" s="32" t="n">
        <v>0</v>
      </c>
      <c r="D18" s="33">
        <f>$B$4/(($B$5*(1+B18))-($B$6*(1+C18)))</f>
        <v/>
      </c>
    </row>
    <row r="19">
      <c r="A19" s="19" t="inlineStr">
        <is>
          <t>Pesimista</t>
        </is>
      </c>
      <c r="B19" s="32" t="n">
        <v>-0.1</v>
      </c>
      <c r="C19" s="32" t="n">
        <v>0.1</v>
      </c>
      <c r="D19" s="33">
        <f>$B$4/(($B$5*(1+B19))-($B$6*(1+C19)))</f>
        <v/>
      </c>
    </row>
  </sheetData>
  <mergeCells count="2">
    <mergeCell ref="A1:D1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9" t="inlineStr">
        <is>
          <t>FLUJO DE CAJA MENSUAL</t>
        </is>
      </c>
      <c r="B1" s="9" t="n"/>
      <c r="C1" s="9" t="n"/>
      <c r="D1" s="9" t="n"/>
      <c r="E1" s="9" t="n"/>
    </row>
    <row r="3">
      <c r="A3" s="22" t="inlineStr">
        <is>
          <t>Mes</t>
        </is>
      </c>
      <c r="B3" s="22" t="inlineStr">
        <is>
          <t>Entradas (Bs.)</t>
        </is>
      </c>
      <c r="C3" s="22" t="inlineStr">
        <is>
          <t>Salidas (Bs.)</t>
        </is>
      </c>
      <c r="D3" s="22" t="inlineStr">
        <is>
          <t>Flujo Neto (Bs.)</t>
        </is>
      </c>
      <c r="E3" s="22" t="inlineStr">
        <is>
          <t>Saldo Acumulado (Bs.)</t>
        </is>
      </c>
    </row>
    <row r="4">
      <c r="A4" s="19" t="inlineStr">
        <is>
          <t>Enero</t>
        </is>
      </c>
      <c r="B4" s="20">
        <f>SUMPRODUCT((MONTH(tbl_Ingresos[Fecha])=1)*(YEAR(tbl_Ingresos[Fecha])='02_CONFIGURACION'!$B$8)*tbl_Ingresos[Bs.])</f>
        <v/>
      </c>
      <c r="C4" s="20">
        <f>SUMPRODUCT((MONTH(tbl_Egresos[Fecha])=1)*(YEAR(tbl_Egresos[Fecha])='02_CONFIGURACION'!$B$8)*tbl_Egresos[Bs.])</f>
        <v/>
      </c>
      <c r="D4" s="20">
        <f>B4-C4</f>
        <v/>
      </c>
      <c r="E4" s="20">
        <f>D4</f>
        <v/>
      </c>
    </row>
    <row r="5">
      <c r="A5" s="19" t="inlineStr">
        <is>
          <t>Febrero</t>
        </is>
      </c>
      <c r="B5" s="20">
        <f>SUMPRODUCT((MONTH(tbl_Ingresos[Fecha])=2)*(YEAR(tbl_Ingresos[Fecha])='02_CONFIGURACION'!$B$8)*tbl_Ingresos[Bs.])</f>
        <v/>
      </c>
      <c r="C5" s="20">
        <f>SUMPRODUCT((MONTH(tbl_Egresos[Fecha])=2)*(YEAR(tbl_Egresos[Fecha])='02_CONFIGURACION'!$B$8)*tbl_Egresos[Bs.])</f>
        <v/>
      </c>
      <c r="D5" s="20">
        <f>B5-C5</f>
        <v/>
      </c>
      <c r="E5" s="20">
        <f>E4+D5</f>
        <v/>
      </c>
    </row>
    <row r="6">
      <c r="A6" s="19" t="inlineStr">
        <is>
          <t>Marzo</t>
        </is>
      </c>
      <c r="B6" s="20">
        <f>SUMPRODUCT((MONTH(tbl_Ingresos[Fecha])=3)*(YEAR(tbl_Ingresos[Fecha])='02_CONFIGURACION'!$B$8)*tbl_Ingresos[Bs.])</f>
        <v/>
      </c>
      <c r="C6" s="20">
        <f>SUMPRODUCT((MONTH(tbl_Egresos[Fecha])=3)*(YEAR(tbl_Egresos[Fecha])='02_CONFIGURACION'!$B$8)*tbl_Egresos[Bs.])</f>
        <v/>
      </c>
      <c r="D6" s="20">
        <f>B6-C6</f>
        <v/>
      </c>
      <c r="E6" s="20">
        <f>E5+D6</f>
        <v/>
      </c>
    </row>
    <row r="7">
      <c r="A7" s="19" t="inlineStr">
        <is>
          <t>Abril</t>
        </is>
      </c>
      <c r="B7" s="20">
        <f>SUMPRODUCT((MONTH(tbl_Ingresos[Fecha])=4)*(YEAR(tbl_Ingresos[Fecha])='02_CONFIGURACION'!$B$8)*tbl_Ingresos[Bs.])</f>
        <v/>
      </c>
      <c r="C7" s="20">
        <f>SUMPRODUCT((MONTH(tbl_Egresos[Fecha])=4)*(YEAR(tbl_Egresos[Fecha])='02_CONFIGURACION'!$B$8)*tbl_Egresos[Bs.])</f>
        <v/>
      </c>
      <c r="D7" s="20">
        <f>B7-C7</f>
        <v/>
      </c>
      <c r="E7" s="20">
        <f>E6+D7</f>
        <v/>
      </c>
    </row>
    <row r="8">
      <c r="A8" s="19" t="inlineStr">
        <is>
          <t>Mayo</t>
        </is>
      </c>
      <c r="B8" s="20">
        <f>SUMPRODUCT((MONTH(tbl_Ingresos[Fecha])=5)*(YEAR(tbl_Ingresos[Fecha])='02_CONFIGURACION'!$B$8)*tbl_Ingresos[Bs.])</f>
        <v/>
      </c>
      <c r="C8" s="20">
        <f>SUMPRODUCT((MONTH(tbl_Egresos[Fecha])=5)*(YEAR(tbl_Egresos[Fecha])='02_CONFIGURACION'!$B$8)*tbl_Egresos[Bs.])</f>
        <v/>
      </c>
      <c r="D8" s="20">
        <f>B8-C8</f>
        <v/>
      </c>
      <c r="E8" s="20">
        <f>E7+D8</f>
        <v/>
      </c>
    </row>
    <row r="9">
      <c r="A9" s="19" t="inlineStr">
        <is>
          <t>Junio</t>
        </is>
      </c>
      <c r="B9" s="20">
        <f>SUMPRODUCT((MONTH(tbl_Ingresos[Fecha])=6)*(YEAR(tbl_Ingresos[Fecha])='02_CONFIGURACION'!$B$8)*tbl_Ingresos[Bs.])</f>
        <v/>
      </c>
      <c r="C9" s="20">
        <f>SUMPRODUCT((MONTH(tbl_Egresos[Fecha])=6)*(YEAR(tbl_Egresos[Fecha])='02_CONFIGURACION'!$B$8)*tbl_Egresos[Bs.])</f>
        <v/>
      </c>
      <c r="D9" s="20">
        <f>B9-C9</f>
        <v/>
      </c>
      <c r="E9" s="20">
        <f>E8+D9</f>
        <v/>
      </c>
    </row>
    <row r="10">
      <c r="A10" s="19" t="inlineStr">
        <is>
          <t>Julio</t>
        </is>
      </c>
      <c r="B10" s="20">
        <f>SUMPRODUCT((MONTH(tbl_Ingresos[Fecha])=7)*(YEAR(tbl_Ingresos[Fecha])='02_CONFIGURACION'!$B$8)*tbl_Ingresos[Bs.])</f>
        <v/>
      </c>
      <c r="C10" s="20">
        <f>SUMPRODUCT((MONTH(tbl_Egresos[Fecha])=7)*(YEAR(tbl_Egresos[Fecha])='02_CONFIGURACION'!$B$8)*tbl_Egresos[Bs.])</f>
        <v/>
      </c>
      <c r="D10" s="20">
        <f>B10-C10</f>
        <v/>
      </c>
      <c r="E10" s="20">
        <f>E9+D10</f>
        <v/>
      </c>
    </row>
    <row r="11">
      <c r="A11" s="19" t="inlineStr">
        <is>
          <t>Agosto</t>
        </is>
      </c>
      <c r="B11" s="20">
        <f>SUMPRODUCT((MONTH(tbl_Ingresos[Fecha])=8)*(YEAR(tbl_Ingresos[Fecha])='02_CONFIGURACION'!$B$8)*tbl_Ingresos[Bs.])</f>
        <v/>
      </c>
      <c r="C11" s="20">
        <f>SUMPRODUCT((MONTH(tbl_Egresos[Fecha])=8)*(YEAR(tbl_Egresos[Fecha])='02_CONFIGURACION'!$B$8)*tbl_Egresos[Bs.])</f>
        <v/>
      </c>
      <c r="D11" s="20">
        <f>B11-C11</f>
        <v/>
      </c>
      <c r="E11" s="20">
        <f>E10+D11</f>
        <v/>
      </c>
    </row>
    <row r="12">
      <c r="A12" s="19" t="inlineStr">
        <is>
          <t>Septiembre</t>
        </is>
      </c>
      <c r="B12" s="20">
        <f>SUMPRODUCT((MONTH(tbl_Ingresos[Fecha])=9)*(YEAR(tbl_Ingresos[Fecha])='02_CONFIGURACION'!$B$8)*tbl_Ingresos[Bs.])</f>
        <v/>
      </c>
      <c r="C12" s="20">
        <f>SUMPRODUCT((MONTH(tbl_Egresos[Fecha])=9)*(YEAR(tbl_Egresos[Fecha])='02_CONFIGURACION'!$B$8)*tbl_Egresos[Bs.])</f>
        <v/>
      </c>
      <c r="D12" s="20">
        <f>B12-C12</f>
        <v/>
      </c>
      <c r="E12" s="20">
        <f>E11+D12</f>
        <v/>
      </c>
    </row>
    <row r="13">
      <c r="A13" s="19" t="inlineStr">
        <is>
          <t>Octubre</t>
        </is>
      </c>
      <c r="B13" s="20">
        <f>SUMPRODUCT((MONTH(tbl_Ingresos[Fecha])=10)*(YEAR(tbl_Ingresos[Fecha])='02_CONFIGURACION'!$B$8)*tbl_Ingresos[Bs.])</f>
        <v/>
      </c>
      <c r="C13" s="20">
        <f>SUMPRODUCT((MONTH(tbl_Egresos[Fecha])=10)*(YEAR(tbl_Egresos[Fecha])='02_CONFIGURACION'!$B$8)*tbl_Egresos[Bs.])</f>
        <v/>
      </c>
      <c r="D13" s="20">
        <f>B13-C13</f>
        <v/>
      </c>
      <c r="E13" s="20">
        <f>E12+D13</f>
        <v/>
      </c>
    </row>
    <row r="14">
      <c r="A14" s="19" t="inlineStr">
        <is>
          <t>Noviembre</t>
        </is>
      </c>
      <c r="B14" s="20">
        <f>SUMPRODUCT((MONTH(tbl_Ingresos[Fecha])=11)*(YEAR(tbl_Ingresos[Fecha])='02_CONFIGURACION'!$B$8)*tbl_Ingresos[Bs.])</f>
        <v/>
      </c>
      <c r="C14" s="20">
        <f>SUMPRODUCT((MONTH(tbl_Egresos[Fecha])=11)*(YEAR(tbl_Egresos[Fecha])='02_CONFIGURACION'!$B$8)*tbl_Egresos[Bs.])</f>
        <v/>
      </c>
      <c r="D14" s="20">
        <f>B14-C14</f>
        <v/>
      </c>
      <c r="E14" s="20">
        <f>E13+D14</f>
        <v/>
      </c>
    </row>
    <row r="15">
      <c r="A15" s="19" t="inlineStr">
        <is>
          <t>Diciembre</t>
        </is>
      </c>
      <c r="B15" s="20">
        <f>SUMPRODUCT((MONTH(tbl_Ingresos[Fecha])=12)*(YEAR(tbl_Ingresos[Fecha])='02_CONFIGURACION'!$B$8)*tbl_Ingresos[Bs.])</f>
        <v/>
      </c>
      <c r="C15" s="20">
        <f>SUMPRODUCT((MONTH(tbl_Egresos[Fecha])=12)*(YEAR(tbl_Egresos[Fecha])='02_CONFIGURACION'!$B$8)*tbl_Egresos[Bs.])</f>
        <v/>
      </c>
      <c r="D15" s="20">
        <f>B15-C15</f>
        <v/>
      </c>
      <c r="E15" s="20">
        <f>E14+D15</f>
        <v/>
      </c>
    </row>
    <row r="17">
      <c r="A17" s="10" t="inlineStr">
        <is>
          <t>PROYECCIONES (a partir del flujo neto promedio mensual)</t>
        </is>
      </c>
    </row>
    <row r="18">
      <c r="A18" s="22" t="inlineStr">
        <is>
          <t>Horizonte</t>
        </is>
      </c>
      <c r="B18" s="22" t="inlineStr">
        <is>
          <t>Dias</t>
        </is>
      </c>
      <c r="C18" s="22" t="inlineStr">
        <is>
          <t>Flujo Proyectado (Bs.)</t>
        </is>
      </c>
    </row>
    <row r="19">
      <c r="A19" s="19" t="inlineStr">
        <is>
          <t>30 dias</t>
        </is>
      </c>
      <c r="B19" s="19" t="n">
        <v>30</v>
      </c>
      <c r="C19" s="20">
        <f>(AVERAGE(D4:D15)/30)*B19</f>
        <v/>
      </c>
    </row>
    <row r="20">
      <c r="A20" s="19" t="inlineStr">
        <is>
          <t>90 dias</t>
        </is>
      </c>
      <c r="B20" s="19" t="n">
        <v>90</v>
      </c>
      <c r="C20" s="20">
        <f>(AVERAGE(D4:D15)/30)*B20</f>
        <v/>
      </c>
    </row>
    <row r="21">
      <c r="A21" s="19" t="inlineStr">
        <is>
          <t>180 dias</t>
        </is>
      </c>
      <c r="B21" s="19" t="n">
        <v>180</v>
      </c>
      <c r="C21" s="20">
        <f>(AVERAGE(D4:D15)/30)*B21</f>
        <v/>
      </c>
    </row>
    <row r="22">
      <c r="A22" s="19" t="inlineStr">
        <is>
          <t>365 dias</t>
        </is>
      </c>
      <c r="B22" s="19" t="n">
        <v>365</v>
      </c>
      <c r="C22" s="20">
        <f>(AVERAGE(D4:D15)/30)*B22</f>
        <v/>
      </c>
    </row>
  </sheetData>
  <mergeCells count="2">
    <mergeCell ref="A1:E1"/>
    <mergeCell ref="A17:E1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</cols>
  <sheetData>
    <row r="1">
      <c r="A1" s="9" t="inlineStr">
        <is>
          <t>ESTADO DE RESULTADOS</t>
        </is>
      </c>
      <c r="B1" s="9" t="n"/>
      <c r="C1" s="9" t="n"/>
    </row>
    <row r="3">
      <c r="A3" s="34" t="inlineStr">
        <is>
          <t>Ingresos</t>
        </is>
      </c>
      <c r="B3" s="35">
        <f>SUMIFS(tbl_Ingresos[Bs.],tbl_Ingresos[Categoria],"Ventas")+SUMIFS(tbl_Ingresos[Bs.],tbl_Ingresos[Categoria],"Servicios")+SUMIFS(tbl_Ingresos[Bs.],tbl_Ingresos[Categoria],"Exportaciones")+SUMIFS(tbl_Ingresos[Bs.],tbl_Ingresos[Categoria],"Otros ingresos")</f>
        <v/>
      </c>
    </row>
    <row r="4">
      <c r="A4" s="34" t="inlineStr">
        <is>
          <t>(-) Costo de Ventas (Compras)</t>
        </is>
      </c>
      <c r="B4" s="35">
        <f>SUMIFS(tbl_Egresos[Bs.],tbl_Egresos[Categoria],"Compras")</f>
        <v/>
      </c>
    </row>
    <row r="5">
      <c r="A5" s="25">
        <f> UTILIDAD BRUTA</f>
        <v/>
      </c>
      <c r="B5" s="26">
        <f>B4-B5</f>
        <v/>
      </c>
    </row>
    <row r="6">
      <c r="A6" s="34" t="inlineStr">
        <is>
          <t>(-) Gastos Operativos</t>
        </is>
      </c>
      <c r="B6" s="35">
        <f>SUMIFS(tbl_Egresos[Bs.],tbl_Egresos[Categoria],"Nomina")+SUMIFS(tbl_Egresos[Bs.],tbl_Egresos[Categoria],"Combustible")+SUMIFS(tbl_Egresos[Bs.],tbl_Egresos[Categoria],"Transporte")+SUMIFS(tbl_Egresos[Bs.],tbl_Egresos[Categoria],"Mantenimiento")+SUMIFS(tbl_Egresos[Bs.],tbl_Egresos[Categoria],"Servicios")+SUMIFS(tbl_Egresos[Bs.],tbl_Egresos[Categoria],"Otros gastos")</f>
        <v/>
      </c>
    </row>
    <row r="7">
      <c r="A7" s="25">
        <f> UTILIDAD OPERATIVA (EBIT)</f>
        <v/>
      </c>
      <c r="B7" s="26">
        <f>B6-B7</f>
        <v/>
      </c>
    </row>
    <row r="8">
      <c r="A8" s="34" t="inlineStr">
        <is>
          <t>(-) Gastos Financieros</t>
        </is>
      </c>
      <c r="B8" s="35">
        <f>SUMIFS(tbl_Egresos[Bs.],tbl_Egresos[Categoria],"Gastos Financieros")</f>
        <v/>
      </c>
    </row>
    <row r="9">
      <c r="A9" s="25">
        <f> UTILIDAD ANTES DE IMPUESTOS</f>
        <v/>
      </c>
      <c r="B9" s="26">
        <f>B8-B9</f>
        <v/>
      </c>
    </row>
    <row r="10">
      <c r="A10" s="34" t="inlineStr">
        <is>
          <t>(-) Impuestos</t>
        </is>
      </c>
      <c r="B10" s="35">
        <f>SUMIFS(tbl_Egresos[Bs.],tbl_Egresos[Categoria],"Impuestos")</f>
        <v/>
      </c>
    </row>
    <row r="11">
      <c r="A11" s="25">
        <f> UTILIDAD NETA</f>
        <v/>
      </c>
      <c r="B11" s="26">
        <f>B10-B11</f>
        <v/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" customWidth="1" min="3" max="3"/>
  </cols>
  <sheetData>
    <row r="1">
      <c r="A1" s="9" t="inlineStr">
        <is>
          <t>BALANCE GENERAL</t>
        </is>
      </c>
      <c r="B1" s="9" t="n"/>
      <c r="C1" s="9" t="n"/>
    </row>
    <row r="3">
      <c r="A3" s="10" t="inlineStr">
        <is>
          <t>ACTIVOS</t>
        </is>
      </c>
    </row>
    <row r="4">
      <c r="A4" s="14" t="inlineStr">
        <is>
          <t>Activos Corrientes</t>
        </is>
      </c>
    </row>
    <row r="5">
      <c r="A5" s="5" t="inlineStr">
        <is>
          <t>Caja y Bancos</t>
        </is>
      </c>
      <c r="B5" s="20">
        <f>'08_FLUJO_CAJA'!E15</f>
        <v/>
      </c>
    </row>
    <row r="6">
      <c r="A6" s="5" t="inlineStr">
        <is>
          <t>Cuentas por Cobrar</t>
        </is>
      </c>
      <c r="B6" s="20">
        <f>SUMIFS('11_CUENTAS_POR_COBRAR'!E:E,'11_CUENTAS_POR_COBRAR'!F:F,"Pendiente")</f>
        <v/>
      </c>
    </row>
    <row r="7">
      <c r="A7" s="5" t="inlineStr">
        <is>
          <t>Inventario</t>
        </is>
      </c>
      <c r="B7" s="20">
        <f>'13_INVENTARIO'!F100</f>
        <v/>
      </c>
    </row>
    <row r="8">
      <c r="A8" s="4" t="inlineStr">
        <is>
          <t>Total Activos Corrientes</t>
        </is>
      </c>
      <c r="B8" s="28">
        <f>SUM(B5:B7)</f>
        <v/>
      </c>
    </row>
    <row r="10">
      <c r="A10" s="14" t="inlineStr">
        <is>
          <t>Activos No Corrientes</t>
        </is>
      </c>
    </row>
    <row r="11">
      <c r="A11" s="5" t="inlineStr">
        <is>
          <t>Propiedad, Planta y Equipo</t>
        </is>
      </c>
      <c r="B11" s="20" t="n">
        <v>800000</v>
      </c>
    </row>
    <row r="12">
      <c r="A12" s="5" t="inlineStr">
        <is>
          <t>Depreciacion Acumulada</t>
        </is>
      </c>
      <c r="B12" s="20" t="n">
        <v>-120000</v>
      </c>
    </row>
    <row r="13">
      <c r="A13" s="4" t="inlineStr">
        <is>
          <t>Total Activos No Corrientes</t>
        </is>
      </c>
      <c r="B13" s="28">
        <f>SUM(B11:B12)</f>
        <v/>
      </c>
    </row>
    <row r="14">
      <c r="A14" s="4" t="inlineStr">
        <is>
          <t>TOTAL ACTIVOS</t>
        </is>
      </c>
      <c r="B14" s="36">
        <f>B8+B13</f>
        <v/>
      </c>
    </row>
    <row r="16">
      <c r="A16" s="10" t="inlineStr">
        <is>
          <t>PASIVOS</t>
        </is>
      </c>
    </row>
    <row r="17">
      <c r="A17" s="14" t="inlineStr">
        <is>
          <t>Pasivos Corrientes</t>
        </is>
      </c>
    </row>
    <row r="18">
      <c r="A18" s="5" t="inlineStr">
        <is>
          <t>Cuentas por Pagar</t>
        </is>
      </c>
      <c r="B18" s="20">
        <f>SUMIFS('12_CUENTAS_POR_PAGAR'!D:D,'12_CUENTAS_POR_PAGAR'!E:E,"Pendiente")</f>
        <v/>
      </c>
    </row>
    <row r="19">
      <c r="A19" s="5" t="inlineStr">
        <is>
          <t>Impuestos por Pagar</t>
        </is>
      </c>
      <c r="B19" s="20" t="n">
        <v>25000</v>
      </c>
    </row>
    <row r="20">
      <c r="A20" s="5" t="inlineStr">
        <is>
          <t>Prestamos a Corto Plazo</t>
        </is>
      </c>
      <c r="B20" s="20" t="n">
        <v>50000</v>
      </c>
    </row>
    <row r="21">
      <c r="A21" s="4" t="inlineStr">
        <is>
          <t>Total Pasivos Corrientes</t>
        </is>
      </c>
      <c r="B21" s="28">
        <f>SUM(B18:B20)</f>
        <v/>
      </c>
    </row>
    <row r="23">
      <c r="A23" s="14" t="inlineStr">
        <is>
          <t>Pasivos No Corrientes</t>
        </is>
      </c>
    </row>
    <row r="24">
      <c r="A24" s="5" t="inlineStr">
        <is>
          <t>Prestamos a Largo Plazo</t>
        </is>
      </c>
      <c r="B24" s="20" t="n">
        <v>200000</v>
      </c>
    </row>
    <row r="25">
      <c r="A25" s="4" t="inlineStr">
        <is>
          <t>Total Pasivos No Corrientes</t>
        </is>
      </c>
      <c r="B25" s="28">
        <f>SUM(B24:B24)</f>
        <v/>
      </c>
    </row>
    <row r="26">
      <c r="A26" s="4" t="inlineStr">
        <is>
          <t>TOTAL PASIVOS</t>
        </is>
      </c>
      <c r="B26" s="36">
        <f>B21+B25</f>
        <v/>
      </c>
    </row>
    <row r="28">
      <c r="A28" s="10" t="inlineStr">
        <is>
          <t>PATRIMONIO</t>
        </is>
      </c>
    </row>
    <row r="29">
      <c r="A29" s="5" t="inlineStr">
        <is>
          <t>Capital Social</t>
        </is>
      </c>
      <c r="B29" s="20" t="n">
        <v>300000</v>
      </c>
    </row>
    <row r="30">
      <c r="A30" s="5" t="inlineStr">
        <is>
          <t>Utilidades Retenidas</t>
        </is>
      </c>
      <c r="B30" s="20" t="n">
        <v>100000</v>
      </c>
    </row>
    <row r="31">
      <c r="A31" s="5" t="inlineStr">
        <is>
          <t>Utilidad del Ejercicio</t>
        </is>
      </c>
      <c r="B31" s="20">
        <f>Utilidad_Neta</f>
        <v/>
      </c>
    </row>
    <row r="32">
      <c r="A32" s="4" t="inlineStr">
        <is>
          <t>TOTAL PATRIMONIO</t>
        </is>
      </c>
      <c r="B32" s="36">
        <f>SUM(B29:B31)</f>
        <v/>
      </c>
    </row>
    <row r="34">
      <c r="A34" s="4" t="inlineStr">
        <is>
          <t>TOTAL PASIVO + PATRIMONIO</t>
        </is>
      </c>
      <c r="B34" s="28">
        <f>B26+B32</f>
        <v/>
      </c>
    </row>
    <row r="36">
      <c r="A36" s="10" t="inlineStr">
        <is>
          <t>INDICADORES FINANCIEROS</t>
        </is>
      </c>
    </row>
    <row r="37">
      <c r="A37" s="5" t="inlineStr">
        <is>
          <t>Liquidez (Activo Cte. / Pasivo Cte.)</t>
        </is>
      </c>
      <c r="B37" s="37">
        <f>B8/B21</f>
        <v/>
      </c>
    </row>
    <row r="38">
      <c r="A38" s="5" t="inlineStr">
        <is>
          <t>Solvencia (Total Activos / Total Pasivos)</t>
        </is>
      </c>
      <c r="B38" s="37">
        <f>B14/B26</f>
        <v/>
      </c>
    </row>
    <row r="39">
      <c r="A39" s="5" t="inlineStr">
        <is>
          <t>Endeudamiento (Total Pasivos / Total Activos)</t>
        </is>
      </c>
      <c r="B39" s="13">
        <f>B26/B14</f>
        <v/>
      </c>
    </row>
  </sheetData>
  <mergeCells count="5">
    <mergeCell ref="A28:C28"/>
    <mergeCell ref="A36:C36"/>
    <mergeCell ref="A1:C1"/>
    <mergeCell ref="A3:C3"/>
    <mergeCell ref="A16:C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</cols>
  <sheetData>
    <row r="1">
      <c r="A1" s="9" t="inlineStr">
        <is>
          <t>CUENTAS POR COBRAR</t>
        </is>
      </c>
      <c r="B1" s="9" t="n"/>
      <c r="C1" s="9" t="n"/>
      <c r="D1" s="9" t="n"/>
      <c r="E1" s="9" t="n"/>
      <c r="F1" s="9" t="n"/>
      <c r="G1" s="9" t="n"/>
    </row>
    <row r="3">
      <c r="A3" s="22" t="inlineStr">
        <is>
          <t>Cliente</t>
        </is>
      </c>
      <c r="B3" s="22" t="inlineStr">
        <is>
          <t>Factura</t>
        </is>
      </c>
      <c r="C3" s="22" t="inlineStr">
        <is>
          <t>Fecha Emision</t>
        </is>
      </c>
      <c r="D3" s="22" t="inlineStr">
        <is>
          <t>Fecha Vencimiento</t>
        </is>
      </c>
      <c r="E3" s="22" t="inlineStr">
        <is>
          <t>Monto (Bs.)</t>
        </is>
      </c>
      <c r="F3" s="22" t="inlineStr">
        <is>
          <t>Estado</t>
        </is>
      </c>
      <c r="G3" s="22" t="inlineStr">
        <is>
          <t>Semaforo</t>
        </is>
      </c>
    </row>
    <row r="4">
      <c r="A4" s="19" t="inlineStr">
        <is>
          <t>Cliente A</t>
        </is>
      </c>
      <c r="B4" s="19" t="inlineStr">
        <is>
          <t>FAC-001</t>
        </is>
      </c>
      <c r="C4" s="23" t="n">
        <v>46143</v>
      </c>
      <c r="D4" s="23" t="n">
        <v>46174</v>
      </c>
      <c r="E4" s="20" t="n">
        <v>45000</v>
      </c>
      <c r="F4" s="19" t="inlineStr">
        <is>
          <t>Pendiente</t>
        </is>
      </c>
      <c r="G4" s="38">
        <f>IF(F4="Pagado","VERDE",IF(D4&lt;TODAY(),"ROJO",IF(D4&lt;=TODAY()+15,"AMARILLO","VERDE")))</f>
        <v/>
      </c>
    </row>
    <row r="5">
      <c r="A5" s="19" t="inlineStr">
        <is>
          <t>Cliente B</t>
        </is>
      </c>
      <c r="B5" s="19" t="inlineStr">
        <is>
          <t>FAC-002</t>
        </is>
      </c>
      <c r="C5" s="23" t="n">
        <v>46152</v>
      </c>
      <c r="D5" s="23" t="n">
        <v>46183</v>
      </c>
      <c r="E5" s="20" t="n">
        <v>18000</v>
      </c>
      <c r="F5" s="19" t="inlineStr">
        <is>
          <t>Pendiente</t>
        </is>
      </c>
      <c r="G5" s="38">
        <f>IF(F5="Pagado","VERDE",IF(D5&lt;TODAY(),"ROJO",IF(D5&lt;=TODAY()+15,"AMARILLO","VERDE")))</f>
        <v/>
      </c>
    </row>
    <row r="6">
      <c r="A6" s="19" t="inlineStr">
        <is>
          <t>Cliente C</t>
        </is>
      </c>
      <c r="B6" s="19" t="inlineStr">
        <is>
          <t>FAC-003</t>
        </is>
      </c>
      <c r="C6" s="23" t="n">
        <v>46127</v>
      </c>
      <c r="D6" s="23" t="n">
        <v>46157</v>
      </c>
      <c r="E6" s="20" t="n">
        <v>120000</v>
      </c>
      <c r="F6" s="19" t="inlineStr">
        <is>
          <t>Pendiente</t>
        </is>
      </c>
      <c r="G6" s="38">
        <f>IF(F6="Pagado","VERDE",IF(D6&lt;TODAY(),"ROJO",IF(D6&lt;=TODAY()+15,"AMARILLO","VERDE")))</f>
        <v/>
      </c>
    </row>
    <row r="7">
      <c r="A7" s="19" t="inlineStr">
        <is>
          <t>Cliente D</t>
        </is>
      </c>
      <c r="B7" s="19" t="inlineStr">
        <is>
          <t>FAC-004</t>
        </is>
      </c>
      <c r="C7" s="23" t="n">
        <v>46162</v>
      </c>
      <c r="D7" s="23" t="n">
        <v>46193</v>
      </c>
      <c r="E7" s="20" t="n">
        <v>5000</v>
      </c>
      <c r="F7" s="19" t="inlineStr">
        <is>
          <t>Pagado</t>
        </is>
      </c>
      <c r="G7" s="38">
        <f>IF(F7="Pagado","VERDE",IF(D7&lt;TODAY(),"ROJO",IF(D7&lt;=TODAY()+15,"AMARILLO","VERDE")))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</cols>
  <sheetData>
    <row r="1">
      <c r="A1" s="9" t="inlineStr">
        <is>
          <t>CUENTAS POR PAGAR</t>
        </is>
      </c>
      <c r="B1" s="9" t="n"/>
      <c r="C1" s="9" t="n"/>
      <c r="D1" s="9" t="n"/>
      <c r="E1" s="9" t="n"/>
      <c r="F1" s="9" t="n"/>
    </row>
    <row r="3">
      <c r="A3" s="22" t="inlineStr">
        <is>
          <t>Proveedor / Obligacion</t>
        </is>
      </c>
      <c r="B3" s="22" t="inlineStr">
        <is>
          <t>Tipo</t>
        </is>
      </c>
      <c r="C3" s="22" t="inlineStr">
        <is>
          <t>Fecha Vencimiento</t>
        </is>
      </c>
      <c r="D3" s="22" t="inlineStr">
        <is>
          <t>Monto (Bs.)</t>
        </is>
      </c>
      <c r="E3" s="22" t="inlineStr">
        <is>
          <t>Estado</t>
        </is>
      </c>
      <c r="F3" s="22" t="inlineStr">
        <is>
          <t>Alerta</t>
        </is>
      </c>
    </row>
    <row r="4">
      <c r="A4" s="19" t="inlineStr">
        <is>
          <t>Proveedor Insumos</t>
        </is>
      </c>
      <c r="B4" s="19" t="inlineStr">
        <is>
          <t>Compras</t>
        </is>
      </c>
      <c r="C4" s="23" t="n">
        <v>46193</v>
      </c>
      <c r="D4" s="20" t="n">
        <v>45000</v>
      </c>
      <c r="E4" s="19" t="inlineStr">
        <is>
          <t>Pendiente</t>
        </is>
      </c>
      <c r="F4" s="19">
        <f>IF(E4="Pagado","Al dia",IF(C4&lt;TODAY(),"VENCIDO",IF(C4&lt;=TODAY()+7,"PROXIMO A VENCER","Al dia")))</f>
        <v/>
      </c>
    </row>
    <row r="5">
      <c r="A5" s="19" t="inlineStr">
        <is>
          <t>SENIAT - IVA</t>
        </is>
      </c>
      <c r="B5" s="19" t="inlineStr">
        <is>
          <t>Impuestos</t>
        </is>
      </c>
      <c r="C5" s="23" t="n">
        <v>46188</v>
      </c>
      <c r="D5" s="20" t="n">
        <v>12000</v>
      </c>
      <c r="E5" s="19" t="inlineStr">
        <is>
          <t>Pendiente</t>
        </is>
      </c>
      <c r="F5" s="19">
        <f>IF(E5="Pagado","Al dia",IF(C5&lt;TODAY(),"VENCIDO",IF(C5&lt;=TODAY()+7,"PROXIMO A VENCER","Al dia")))</f>
        <v/>
      </c>
    </row>
    <row r="6">
      <c r="A6" s="19" t="inlineStr">
        <is>
          <t>Banco - Cuota Prestamo</t>
        </is>
      </c>
      <c r="B6" s="19" t="inlineStr">
        <is>
          <t>Creditos</t>
        </is>
      </c>
      <c r="C6" s="23" t="n">
        <v>46203</v>
      </c>
      <c r="D6" s="20" t="n">
        <v>8000</v>
      </c>
      <c r="E6" s="19" t="inlineStr">
        <is>
          <t>Pendiente</t>
        </is>
      </c>
      <c r="F6" s="19">
        <f>IF(E6="Pagado","Al dia",IF(C6&lt;TODAY(),"VENCIDO",IF(C6&lt;=TODAY()+7,"PROXIMO A VENCER","Al dia")))</f>
        <v/>
      </c>
    </row>
    <row r="7">
      <c r="A7" s="19" t="inlineStr">
        <is>
          <t>Taller Mecanico</t>
        </is>
      </c>
      <c r="B7" s="19" t="inlineStr">
        <is>
          <t>Compras</t>
        </is>
      </c>
      <c r="C7" s="23" t="n">
        <v>46143</v>
      </c>
      <c r="D7" s="20" t="n">
        <v>9000</v>
      </c>
      <c r="E7" s="19" t="inlineStr">
        <is>
          <t>Pagado</t>
        </is>
      </c>
      <c r="F7" s="19">
        <f>IF(E7="Pagado","Al dia",IF(C7&lt;TODAY(),"VENCIDO",IF(C7&lt;=TODAY()+7,"PROXIMO A VENCER","Al dia")))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18" customWidth="1" min="7" max="7"/>
    <col width="16" customWidth="1" min="8" max="8"/>
  </cols>
  <sheetData>
    <row r="1">
      <c r="A1" s="9" t="inlineStr">
        <is>
          <t>CONTROL DE INVENTARIO</t>
        </is>
      </c>
      <c r="B1" s="9" t="n"/>
      <c r="C1" s="9" t="n"/>
      <c r="D1" s="9" t="n"/>
      <c r="E1" s="9" t="n"/>
      <c r="F1" s="9" t="n"/>
      <c r="G1" s="9" t="n"/>
      <c r="H1" s="9" t="n"/>
    </row>
    <row r="3">
      <c r="A3" s="22" t="inlineStr">
        <is>
          <t>Producto</t>
        </is>
      </c>
      <c r="B3" s="22" t="inlineStr">
        <is>
          <t>Existencia</t>
        </is>
      </c>
      <c r="C3" s="22" t="inlineStr">
        <is>
          <t>Stock Minimo</t>
        </is>
      </c>
      <c r="D3" s="22" t="inlineStr">
        <is>
          <t>Stock Maximo</t>
        </is>
      </c>
      <c r="E3" s="22" t="inlineStr">
        <is>
          <t>Costo Unitario (Bs.)</t>
        </is>
      </c>
      <c r="F3" s="22" t="inlineStr">
        <is>
          <t>Valor Inventario (Bs.)</t>
        </is>
      </c>
      <c r="G3" s="22" t="inlineStr">
        <is>
          <t>Rotacion (veces/mes)</t>
        </is>
      </c>
      <c r="H3" s="22" t="inlineStr">
        <is>
          <t>Cobertura (dias)</t>
        </is>
      </c>
    </row>
    <row r="4">
      <c r="A4" s="19" t="inlineStr">
        <is>
          <t>Producto X</t>
        </is>
      </c>
      <c r="B4" s="19" t="n">
        <v>500</v>
      </c>
      <c r="C4" s="19" t="n">
        <v>100</v>
      </c>
      <c r="D4" s="19" t="n">
        <v>1000</v>
      </c>
      <c r="E4" s="20" t="n">
        <v>80</v>
      </c>
      <c r="F4" s="20">
        <f>B4*E4</f>
        <v/>
      </c>
      <c r="G4" s="19" t="n">
        <v>6</v>
      </c>
      <c r="H4" s="19" t="n">
        <v>30</v>
      </c>
    </row>
    <row r="5">
      <c r="A5" s="19" t="inlineStr">
        <is>
          <t>Producto Y</t>
        </is>
      </c>
      <c r="B5" s="19" t="n">
        <v>200</v>
      </c>
      <c r="C5" s="19" t="n">
        <v>50</v>
      </c>
      <c r="D5" s="19" t="n">
        <v>500</v>
      </c>
      <c r="E5" s="20" t="n">
        <v>120</v>
      </c>
      <c r="F5" s="20">
        <f>B5*E5</f>
        <v/>
      </c>
      <c r="G5" s="19" t="n">
        <v>4</v>
      </c>
      <c r="H5" s="19" t="n">
        <v>22</v>
      </c>
    </row>
    <row r="6">
      <c r="A6" s="19" t="inlineStr">
        <is>
          <t>Producto Z</t>
        </is>
      </c>
      <c r="B6" s="19" t="n">
        <v>80</v>
      </c>
      <c r="C6" s="19" t="n">
        <v>100</v>
      </c>
      <c r="D6" s="19" t="n">
        <v>600</v>
      </c>
      <c r="E6" s="20" t="n">
        <v>150</v>
      </c>
      <c r="F6" s="20">
        <f>B6*E6</f>
        <v/>
      </c>
      <c r="G6" s="19" t="n">
        <v>2</v>
      </c>
      <c r="H6" s="19" t="n">
        <v>15</v>
      </c>
    </row>
    <row r="7">
      <c r="A7" s="19" t="inlineStr">
        <is>
          <t>Materia Prima A</t>
        </is>
      </c>
      <c r="B7" s="19" t="n">
        <v>1200</v>
      </c>
      <c r="C7" s="19" t="n">
        <v>300</v>
      </c>
      <c r="D7" s="19" t="n">
        <v>3000</v>
      </c>
      <c r="E7" s="20" t="n">
        <v>25</v>
      </c>
      <c r="F7" s="20">
        <f>B7*E7</f>
        <v/>
      </c>
      <c r="G7" s="19" t="n">
        <v>8</v>
      </c>
      <c r="H7" s="19" t="n">
        <v>28</v>
      </c>
    </row>
    <row r="99">
      <c r="E99" s="4" t="inlineStr">
        <is>
          <t>VALOR TOTAL INVENTARIO</t>
        </is>
      </c>
    </row>
    <row r="100">
      <c r="F100" s="28">
        <f>SUM(F4:F7)</f>
        <v/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NOMINA - LEGISLACION LABORAL VENEZOLANA (LOTTT, IVSS, INCES, FAOV)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</row>
    <row r="3">
      <c r="A3" s="22" t="inlineStr">
        <is>
          <t>Empleado</t>
        </is>
      </c>
      <c r="B3" s="22" t="inlineStr">
        <is>
          <t>Cargo</t>
        </is>
      </c>
      <c r="C3" s="22" t="inlineStr">
        <is>
          <t>Salario Mensual (Bs.)</t>
        </is>
      </c>
      <c r="D3" s="22" t="inlineStr">
        <is>
          <t>Dias Trabajados</t>
        </is>
      </c>
      <c r="E3" s="22" t="inlineStr">
        <is>
          <t>IVSS Trabajador (4%)</t>
        </is>
      </c>
      <c r="F3" s="22" t="inlineStr">
        <is>
          <t>FAOV Trabajador (1%)</t>
        </is>
      </c>
      <c r="G3" s="22" t="inlineStr">
        <is>
          <t>Aporte Trabajador</t>
        </is>
      </c>
      <c r="H3" s="22" t="inlineStr">
        <is>
          <t>IVSS Patrono (9%)</t>
        </is>
      </c>
      <c r="I3" s="22" t="inlineStr">
        <is>
          <t>FAOV Patrono (2%)</t>
        </is>
      </c>
      <c r="J3" s="22" t="inlineStr">
        <is>
          <t>INCES Patrono (2%)</t>
        </is>
      </c>
      <c r="K3" s="22" t="inlineStr">
        <is>
          <t>Salario Neto (Bs.)</t>
        </is>
      </c>
    </row>
    <row r="4">
      <c r="A4" s="19" t="inlineStr">
        <is>
          <t>Empleado 1</t>
        </is>
      </c>
      <c r="B4" s="19" t="inlineStr">
        <is>
          <t>Gerente Administrativo</t>
        </is>
      </c>
      <c r="C4" s="20" t="n">
        <v>15000</v>
      </c>
      <c r="D4" s="19" t="n">
        <v>30</v>
      </c>
      <c r="E4" s="20">
        <f>C4*0.04</f>
        <v/>
      </c>
      <c r="F4" s="20">
        <f>C4*0.01</f>
        <v/>
      </c>
      <c r="G4" s="20">
        <f>E4+F4</f>
        <v/>
      </c>
      <c r="H4" s="20">
        <f>C4*0.09</f>
        <v/>
      </c>
      <c r="I4" s="20">
        <f>C4*0.02</f>
        <v/>
      </c>
      <c r="J4" s="20">
        <f>C4*0.02</f>
        <v/>
      </c>
      <c r="K4" s="20">
        <f>C4-G4</f>
        <v/>
      </c>
    </row>
    <row r="5">
      <c r="A5" s="19" t="inlineStr">
        <is>
          <t>Empleado 2</t>
        </is>
      </c>
      <c r="B5" s="19" t="inlineStr">
        <is>
          <t>Analista Financiero</t>
        </is>
      </c>
      <c r="C5" s="20" t="n">
        <v>9000</v>
      </c>
      <c r="D5" s="19" t="n">
        <v>30</v>
      </c>
      <c r="E5" s="20">
        <f>C5*0.04</f>
        <v/>
      </c>
      <c r="F5" s="20">
        <f>C5*0.01</f>
        <v/>
      </c>
      <c r="G5" s="20">
        <f>E5+F5</f>
        <v/>
      </c>
      <c r="H5" s="20">
        <f>C5*0.09</f>
        <v/>
      </c>
      <c r="I5" s="20">
        <f>C5*0.02</f>
        <v/>
      </c>
      <c r="J5" s="20">
        <f>C5*0.02</f>
        <v/>
      </c>
      <c r="K5" s="20">
        <f>C5-G5</f>
        <v/>
      </c>
    </row>
    <row r="6">
      <c r="A6" s="19" t="inlineStr">
        <is>
          <t>Empleado 3</t>
        </is>
      </c>
      <c r="B6" s="19" t="inlineStr">
        <is>
          <t>Operador de Planta</t>
        </is>
      </c>
      <c r="C6" s="20" t="n">
        <v>6000</v>
      </c>
      <c r="D6" s="19" t="n">
        <v>30</v>
      </c>
      <c r="E6" s="20">
        <f>C6*0.04</f>
        <v/>
      </c>
      <c r="F6" s="20">
        <f>C6*0.01</f>
        <v/>
      </c>
      <c r="G6" s="20">
        <f>E6+F6</f>
        <v/>
      </c>
      <c r="H6" s="20">
        <f>C6*0.09</f>
        <v/>
      </c>
      <c r="I6" s="20">
        <f>C6*0.02</f>
        <v/>
      </c>
      <c r="J6" s="20">
        <f>C6*0.02</f>
        <v/>
      </c>
      <c r="K6" s="20">
        <f>C6-G6</f>
        <v/>
      </c>
    </row>
    <row r="7">
      <c r="A7" s="19" t="inlineStr">
        <is>
          <t>Empleado 4</t>
        </is>
      </c>
      <c r="B7" s="19" t="inlineStr">
        <is>
          <t>Conductor</t>
        </is>
      </c>
      <c r="C7" s="20" t="n">
        <v>5500</v>
      </c>
      <c r="D7" s="19" t="n">
        <v>30</v>
      </c>
      <c r="E7" s="20">
        <f>C7*0.04</f>
        <v/>
      </c>
      <c r="F7" s="20">
        <f>C7*0.01</f>
        <v/>
      </c>
      <c r="G7" s="20">
        <f>E7+F7</f>
        <v/>
      </c>
      <c r="H7" s="20">
        <f>C7*0.09</f>
        <v/>
      </c>
      <c r="I7" s="20">
        <f>C7*0.02</f>
        <v/>
      </c>
      <c r="J7" s="20">
        <f>C7*0.02</f>
        <v/>
      </c>
      <c r="K7" s="20">
        <f>C7-G7</f>
        <v/>
      </c>
    </row>
    <row r="8">
      <c r="B8" s="4" t="inlineStr">
        <is>
          <t>TOTALES</t>
        </is>
      </c>
      <c r="C8" s="28">
        <f>SUM(C4:C7)</f>
        <v/>
      </c>
      <c r="E8" s="28">
        <f>SUM(E4:E7)</f>
        <v/>
      </c>
      <c r="F8" s="28">
        <f>SUM(F4:F7)</f>
        <v/>
      </c>
      <c r="G8" s="28">
        <f>SUM(G4:G7)</f>
        <v/>
      </c>
      <c r="H8" s="28">
        <f>SUM(H4:H7)</f>
        <v/>
      </c>
      <c r="I8" s="28">
        <f>SUM(I4:I7)</f>
        <v/>
      </c>
      <c r="J8" s="28">
        <f>SUM(J4:J7)</f>
        <v/>
      </c>
      <c r="K8" s="28">
        <f>SUM(K4:K7)</f>
        <v/>
      </c>
    </row>
    <row r="11">
      <c r="A11" s="10" t="inlineStr">
        <is>
          <t>PRESTACIONES SOCIALES, VACACIONES Y UTILIDADES (Estimacion Anual)</t>
        </is>
      </c>
    </row>
    <row r="12">
      <c r="A12" s="22" t="inlineStr">
        <is>
          <t>Empleado</t>
        </is>
      </c>
      <c r="B12" s="22" t="inlineStr">
        <is>
          <t>Salario Mensual (Bs.)</t>
        </is>
      </c>
      <c r="C12" s="22" t="inlineStr">
        <is>
          <t>Prestaciones (15 dias x 12 meses)</t>
        </is>
      </c>
      <c r="D12" s="22" t="inlineStr">
        <is>
          <t>Vacaciones (15 dias)</t>
        </is>
      </c>
      <c r="E12" s="22" t="inlineStr">
        <is>
          <t>Utilidades (30 dias min. LOTTT)</t>
        </is>
      </c>
    </row>
    <row r="13">
      <c r="A13" s="19" t="inlineStr">
        <is>
          <t>Empleado 1</t>
        </is>
      </c>
      <c r="B13" s="20">
        <f>C4</f>
        <v/>
      </c>
      <c r="C13" s="20">
        <f>(C4/30)*15*12</f>
        <v/>
      </c>
      <c r="D13" s="20">
        <f>(C4/30)*15</f>
        <v/>
      </c>
      <c r="E13" s="20">
        <f>(C4/30)*30</f>
        <v/>
      </c>
    </row>
    <row r="14">
      <c r="A14" s="19" t="inlineStr">
        <is>
          <t>Empleado 2</t>
        </is>
      </c>
      <c r="B14" s="20">
        <f>C5</f>
        <v/>
      </c>
      <c r="C14" s="20">
        <f>(C5/30)*15*12</f>
        <v/>
      </c>
      <c r="D14" s="20">
        <f>(C5/30)*15</f>
        <v/>
      </c>
      <c r="E14" s="20">
        <f>(C5/30)*30</f>
        <v/>
      </c>
    </row>
    <row r="15">
      <c r="A15" s="19" t="inlineStr">
        <is>
          <t>Empleado 3</t>
        </is>
      </c>
      <c r="B15" s="20">
        <f>C6</f>
        <v/>
      </c>
      <c r="C15" s="20">
        <f>(C6/30)*15*12</f>
        <v/>
      </c>
      <c r="D15" s="20">
        <f>(C6/30)*15</f>
        <v/>
      </c>
      <c r="E15" s="20">
        <f>(C6/30)*30</f>
        <v/>
      </c>
    </row>
    <row r="16">
      <c r="A16" s="19" t="inlineStr">
        <is>
          <t>Empleado 4</t>
        </is>
      </c>
      <c r="B16" s="20">
        <f>C7</f>
        <v/>
      </c>
      <c r="C16" s="20">
        <f>(C7/30)*15*12</f>
        <v/>
      </c>
      <c r="D16" s="20">
        <f>(C7/30)*15</f>
        <v/>
      </c>
      <c r="E16" s="20">
        <f>(C7/30)*30</f>
        <v/>
      </c>
    </row>
  </sheetData>
  <mergeCells count="2">
    <mergeCell ref="A11:E11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4" customWidth="1" min="4" max="4"/>
  </cols>
  <sheetData>
    <row r="1">
      <c r="A1" s="9" t="inlineStr">
        <is>
          <t>CONTROL TRIBUTARIO - SENIAT Y MUNICIPAL</t>
        </is>
      </c>
      <c r="B1" s="9" t="n"/>
      <c r="C1" s="9" t="n"/>
      <c r="D1" s="9" t="n"/>
    </row>
    <row r="3">
      <c r="A3" s="10" t="inlineStr">
        <is>
          <t>SENIAT - IVA</t>
        </is>
      </c>
    </row>
    <row r="4">
      <c r="A4" s="5" t="inlineStr">
        <is>
          <t>IVA Debito Fiscal (Ventas x Alicuota)</t>
        </is>
      </c>
      <c r="B4" s="20">
        <f>Ingresos_Totales*'02_CONFIGURACION'!$B$6</f>
        <v/>
      </c>
    </row>
    <row r="5">
      <c r="A5" s="5" t="inlineStr">
        <is>
          <t>IVA Credito Fiscal (Compras x Alicuota)</t>
        </is>
      </c>
      <c r="B5" s="20">
        <f>SUMIFS(tbl_Egresos[Bs.],tbl_Egresos[Categoria],"Compras")*'02_CONFIGURACION'!$B$6</f>
        <v/>
      </c>
    </row>
    <row r="6">
      <c r="A6" s="5" t="inlineStr">
        <is>
          <t>IVA a Pagar (Debito - Credito)</t>
        </is>
      </c>
      <c r="B6" s="20">
        <f>B4-B5</f>
        <v/>
      </c>
    </row>
    <row r="8">
      <c r="A8" s="10" t="inlineStr">
        <is>
          <t>RETENCIONES</t>
        </is>
      </c>
    </row>
    <row r="9">
      <c r="A9" s="5" t="inlineStr">
        <is>
          <t>Retencion IVA (75% sobre IVA causado)</t>
        </is>
      </c>
      <c r="B9" s="20">
        <f>B5*0.75</f>
        <v/>
      </c>
    </row>
    <row r="10">
      <c r="A10" s="5" t="inlineStr">
        <is>
          <t>Retencion ISLR (estimado 2% sobre compras)</t>
        </is>
      </c>
      <c r="B10" s="20">
        <f>SUMIFS(tbl_Egresos[Bs.],tbl_Egresos[Categoria],"Compras")*0.02</f>
        <v/>
      </c>
    </row>
    <row r="12">
      <c r="A12" s="10" t="inlineStr">
        <is>
          <t>IGTF (Pagos en divisas)</t>
        </is>
      </c>
    </row>
    <row r="13">
      <c r="A13" s="5" t="inlineStr">
        <is>
          <t>IGTF Estimado (Egresos USD x Alicuota)</t>
        </is>
      </c>
      <c r="B13" s="24">
        <f>Egresos_Totales/Tasa_BCV*'02_CONFIGURACION'!$B$7</f>
        <v/>
      </c>
    </row>
    <row r="15">
      <c r="A15" s="10" t="inlineStr">
        <is>
          <t>IMPUESTOS MUNICIPALES</t>
        </is>
      </c>
    </row>
    <row r="16">
      <c r="A16" s="5" t="inlineStr">
        <is>
          <t>Impuesto Actividades Economicas (1% s/Ingresos)</t>
        </is>
      </c>
      <c r="B16" s="20">
        <f>Ingresos_Totales*0.01</f>
        <v/>
      </c>
    </row>
    <row r="17">
      <c r="A17" s="5" t="inlineStr">
        <is>
          <t>Impuesto Publicidad y Propaganda</t>
        </is>
      </c>
      <c r="B17" s="20" t="n">
        <v>1500</v>
      </c>
    </row>
    <row r="18">
      <c r="A18" s="5" t="inlineStr">
        <is>
          <t>Impuesto Inmuebles Urbanos</t>
        </is>
      </c>
      <c r="B18" s="20" t="n">
        <v>2500</v>
      </c>
    </row>
  </sheetData>
  <mergeCells count="5">
    <mergeCell ref="A1:D1"/>
    <mergeCell ref="A15:B15"/>
    <mergeCell ref="A8:B8"/>
    <mergeCell ref="A3:B3"/>
    <mergeCell ref="A12:B1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0" customWidth="1" min="4" max="4"/>
    <col width="14" customWidth="1" min="5" max="5"/>
  </cols>
  <sheetData>
    <row r="1">
      <c r="A1" s="9" t="inlineStr">
        <is>
          <t>PRESUPUESTO: PRESUPUESTADO VS EJECUTADO</t>
        </is>
      </c>
      <c r="B1" s="9" t="n"/>
      <c r="C1" s="9" t="n"/>
      <c r="D1" s="9" t="n"/>
      <c r="E1" s="9" t="n"/>
    </row>
    <row r="3">
      <c r="A3" s="22" t="inlineStr">
        <is>
          <t>Concepto</t>
        </is>
      </c>
      <c r="B3" s="22" t="inlineStr">
        <is>
          <t>Presupuestado (Bs.)</t>
        </is>
      </c>
      <c r="C3" s="22" t="inlineStr">
        <is>
          <t>Ejecutado (Bs.)</t>
        </is>
      </c>
      <c r="D3" s="22" t="inlineStr">
        <is>
          <t>Variacion Absoluta (Bs.)</t>
        </is>
      </c>
      <c r="E3" s="22" t="inlineStr">
        <is>
          <t>Variacion (%)</t>
        </is>
      </c>
    </row>
    <row r="4">
      <c r="A4" s="5" t="inlineStr">
        <is>
          <t>Ingresos</t>
        </is>
      </c>
      <c r="B4" s="20" t="n">
        <v>700000</v>
      </c>
      <c r="C4" s="20">
        <f>Ingresos_Totales</f>
        <v/>
      </c>
      <c r="D4" s="20">
        <f>C4-B4</f>
        <v/>
      </c>
      <c r="E4" s="32">
        <f>D4/B4</f>
        <v/>
      </c>
    </row>
    <row r="5">
      <c r="A5" s="5" t="inlineStr">
        <is>
          <t>Costo de Ventas</t>
        </is>
      </c>
      <c r="B5" s="20" t="n">
        <v>180000</v>
      </c>
      <c r="C5" s="20">
        <f>SUMIFS(tbl_Egresos[Bs.],tbl_Egresos[Categoria],"Compras")</f>
        <v/>
      </c>
      <c r="D5" s="20">
        <f>C5-B5</f>
        <v/>
      </c>
      <c r="E5" s="32">
        <f>D5/B5</f>
        <v/>
      </c>
    </row>
    <row r="6">
      <c r="A6" s="5" t="inlineStr">
        <is>
          <t>Gastos Operativos</t>
        </is>
      </c>
      <c r="B6" s="20" t="n">
        <v>250000</v>
      </c>
      <c r="C6" s="20">
        <f>SUMIFS(tbl_Egresos[Bs.],tbl_Egresos[Categoria],"Nomina")+SUMIFS(tbl_Egresos[Bs.],tbl_Egresos[Categoria],"Combustible")+SUMIFS(tbl_Egresos[Bs.],tbl_Egresos[Categoria],"Transporte")+SUMIFS(tbl_Egresos[Bs.],tbl_Egresos[Categoria],"Mantenimiento")+SUMIFS(tbl_Egresos[Bs.],tbl_Egresos[Categoria],"Servicios")+SUMIFS(tbl_Egresos[Bs.],tbl_Egresos[Categoria],"Otros gastos")</f>
        <v/>
      </c>
      <c r="D6" s="20">
        <f>C6-B6</f>
        <v/>
      </c>
      <c r="E6" s="32">
        <f>D6/B6</f>
        <v/>
      </c>
    </row>
    <row r="7">
      <c r="A7" s="5" t="inlineStr">
        <is>
          <t>Gastos Financieros</t>
        </is>
      </c>
      <c r="B7" s="20" t="n">
        <v>15000</v>
      </c>
      <c r="C7" s="20">
        <f>Gastos_Financieros</f>
        <v/>
      </c>
      <c r="D7" s="20">
        <f>C7-B7</f>
        <v/>
      </c>
      <c r="E7" s="32">
        <f>D7/B7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" customWidth="1" min="3" max="3"/>
  </cols>
  <sheetData>
    <row r="1">
      <c r="A1" s="9" t="inlineStr">
        <is>
          <t>KPI GERENCIALES</t>
        </is>
      </c>
      <c r="B1" s="9" t="n"/>
      <c r="C1" s="9" t="n"/>
    </row>
    <row r="3">
      <c r="A3" s="10" t="inlineStr">
        <is>
          <t>FINANCIEROS</t>
        </is>
      </c>
    </row>
    <row r="4">
      <c r="A4" s="5" t="inlineStr">
        <is>
          <t>EBITDA (Bs.)</t>
        </is>
      </c>
      <c r="B4" s="12">
        <f>Utilidad_Operativa</f>
        <v/>
      </c>
    </row>
    <row r="5">
      <c r="A5" s="5" t="inlineStr">
        <is>
          <t>ROI (Utilidad Neta / Total Activos)</t>
        </is>
      </c>
      <c r="B5" s="13">
        <f>Utilidad_Neta/'10_BALANCE_GENERAL'!B14</f>
        <v/>
      </c>
    </row>
    <row r="6">
      <c r="A6" s="5" t="inlineStr">
        <is>
          <t>ROA (Utilidad Operativa / Total Activos)</t>
        </is>
      </c>
      <c r="B6" s="13">
        <f>Utilidad_Operativa/'10_BALANCE_GENERAL'!B14</f>
        <v/>
      </c>
    </row>
    <row r="7">
      <c r="A7" s="5" t="inlineStr">
        <is>
          <t>ROE (Utilidad Neta / Patrimonio)</t>
        </is>
      </c>
      <c r="B7" s="13">
        <f>Utilidad_Neta/'10_BALANCE_GENERAL'!B32</f>
        <v/>
      </c>
    </row>
    <row r="8">
      <c r="A8" s="5" t="inlineStr">
        <is>
          <t>Margen Neto</t>
        </is>
      </c>
      <c r="B8" s="13">
        <f>Utilidad_Neta/Ingresos_Totales</f>
        <v/>
      </c>
    </row>
    <row r="9">
      <c r="A9" s="5" t="inlineStr">
        <is>
          <t>Liquidez</t>
        </is>
      </c>
      <c r="B9" s="37">
        <f>'10_BALANCE_GENERAL'!B8/'10_BALANCE_GENERAL'!B21</f>
        <v/>
      </c>
    </row>
    <row r="11">
      <c r="A11" s="10" t="inlineStr">
        <is>
          <t>COMERCIALES</t>
        </is>
      </c>
    </row>
    <row r="12">
      <c r="A12" s="5" t="inlineStr">
        <is>
          <t>Crecimiento de Ventas (vs presupuesto)</t>
        </is>
      </c>
      <c r="B12" s="13">
        <f>'16_PRESUPUESTO'!E4</f>
        <v/>
      </c>
    </row>
    <row r="13">
      <c r="A13" s="5" t="inlineStr">
        <is>
          <t>Clientes Activos (con CxC)</t>
        </is>
      </c>
      <c r="B13" s="39">
        <f>COUNTA(tbl_CxC[Cliente])</f>
        <v/>
      </c>
    </row>
    <row r="15">
      <c r="A15" s="10" t="inlineStr">
        <is>
          <t>OPERATIVOS</t>
        </is>
      </c>
    </row>
    <row r="16">
      <c r="A16" s="5" t="inlineStr">
        <is>
          <t>Productividad (Ingresos / Nro. Empleados)</t>
        </is>
      </c>
      <c r="B16" s="12">
        <f>Ingresos_Totales/4</f>
        <v/>
      </c>
    </row>
    <row r="17">
      <c r="A17" s="5" t="inlineStr">
        <is>
          <t>Eficiencia (Utilidad Operativa / Ingresos)</t>
        </is>
      </c>
      <c r="B17" s="13">
        <f>Utilidad_Operativa/Ingresos_Totales</f>
        <v/>
      </c>
    </row>
  </sheetData>
  <mergeCells count="4">
    <mergeCell ref="A1:C1"/>
    <mergeCell ref="A3:B3"/>
    <mergeCell ref="A11:B11"/>
    <mergeCell ref="A15:B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PRODUCCION MINERA</t>
        </is>
      </c>
      <c r="B1" s="9" t="n"/>
      <c r="C1" s="9" t="n"/>
      <c r="D1" s="9" t="n"/>
      <c r="E1" s="9" t="n"/>
    </row>
    <row r="3">
      <c r="A3" s="22" t="inlineStr">
        <is>
          <t>Fecha</t>
        </is>
      </c>
      <c r="B3" s="22" t="inlineStr">
        <is>
          <t>Mina</t>
        </is>
      </c>
      <c r="C3" s="22" t="inlineStr">
        <is>
          <t>Mineral</t>
        </is>
      </c>
      <c r="D3" s="22" t="inlineStr">
        <is>
          <t>Produccion (Tm)</t>
        </is>
      </c>
      <c r="E3" s="22" t="inlineStr">
        <is>
          <t>Ventas (Tm)</t>
        </is>
      </c>
      <c r="F3" s="22" t="inlineStr">
        <is>
          <t>Inventario (Tm)</t>
        </is>
      </c>
    </row>
    <row r="4">
      <c r="A4" s="23" t="n">
        <v>46053</v>
      </c>
      <c r="B4" s="19" t="inlineStr">
        <is>
          <t>Mina 1</t>
        </is>
      </c>
      <c r="C4" s="19" t="inlineStr">
        <is>
          <t>Oro</t>
        </is>
      </c>
      <c r="D4" s="19" t="n">
        <v>120</v>
      </c>
      <c r="E4" s="19" t="n">
        <v>110</v>
      </c>
      <c r="F4" s="19">
        <f>SUM(D$4:D4)-SUM(E$4:E4)</f>
        <v/>
      </c>
    </row>
    <row r="5">
      <c r="A5" s="23" t="n">
        <v>46081</v>
      </c>
      <c r="B5" s="19" t="inlineStr">
        <is>
          <t>Mina 1</t>
        </is>
      </c>
      <c r="C5" s="19" t="inlineStr">
        <is>
          <t>Oro</t>
        </is>
      </c>
      <c r="D5" s="19" t="n">
        <v>135</v>
      </c>
      <c r="E5" s="19" t="n">
        <v>130</v>
      </c>
      <c r="F5" s="19">
        <f>SUM(D$4:D5)-SUM(E$4:E5)</f>
        <v/>
      </c>
    </row>
    <row r="6">
      <c r="A6" s="23" t="n">
        <v>46112</v>
      </c>
      <c r="B6" s="19" t="inlineStr">
        <is>
          <t>Mina 1</t>
        </is>
      </c>
      <c r="C6" s="19" t="inlineStr">
        <is>
          <t>Oro</t>
        </is>
      </c>
      <c r="D6" s="19" t="n">
        <v>140</v>
      </c>
      <c r="E6" s="19" t="n">
        <v>138</v>
      </c>
      <c r="F6" s="19">
        <f>SUM(D$4:D6)-SUM(E$4:E6)</f>
        <v/>
      </c>
    </row>
    <row r="7">
      <c r="A7" s="23" t="n">
        <v>46142</v>
      </c>
      <c r="B7" s="19" t="inlineStr">
        <is>
          <t>Mina 2</t>
        </is>
      </c>
      <c r="C7" s="19" t="inlineStr">
        <is>
          <t>Hierro</t>
        </is>
      </c>
      <c r="D7" s="19" t="n">
        <v>5000</v>
      </c>
      <c r="E7" s="19" t="n">
        <v>4800</v>
      </c>
      <c r="F7" s="19">
        <f>SUM(D$4:D7)-SUM(E$4:E7)</f>
        <v/>
      </c>
    </row>
    <row r="8">
      <c r="A8" s="23" t="n">
        <v>46173</v>
      </c>
      <c r="B8" s="19" t="inlineStr">
        <is>
          <t>Mina 2</t>
        </is>
      </c>
      <c r="C8" s="19" t="inlineStr">
        <is>
          <t>Hierro</t>
        </is>
      </c>
      <c r="D8" s="19" t="n">
        <v>5200</v>
      </c>
      <c r="E8" s="19" t="n">
        <v>5100</v>
      </c>
      <c r="F8" s="19">
        <f>SUM(D$4:D8)-SUM(E$4:E8)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4" customWidth="1" min="3" max="3"/>
  </cols>
  <sheetData>
    <row r="1">
      <c r="A1" s="9" t="inlineStr">
        <is>
          <t>COSTO POR TONELADA</t>
        </is>
      </c>
      <c r="B1" s="9" t="n"/>
      <c r="C1" s="9" t="n"/>
    </row>
    <row r="3">
      <c r="A3" s="5" t="inlineStr">
        <is>
          <t>Costo de Extraccion (Bs./Tm)</t>
        </is>
      </c>
      <c r="B3" s="20" t="n">
        <v>35</v>
      </c>
    </row>
    <row r="4">
      <c r="A4" s="5" t="inlineStr">
        <is>
          <t>Costo de Carga (Bs./Tm)</t>
        </is>
      </c>
      <c r="B4" s="20" t="n">
        <v>8</v>
      </c>
    </row>
    <row r="5">
      <c r="A5" s="5" t="inlineStr">
        <is>
          <t>Costo de Transporte (Bs./Tm)</t>
        </is>
      </c>
      <c r="B5" s="20" t="n">
        <v>12</v>
      </c>
    </row>
    <row r="6">
      <c r="A6" s="5" t="inlineStr">
        <is>
          <t>Costo de Beneficio (Bs./Tm)</t>
        </is>
      </c>
      <c r="B6" s="20" t="n">
        <v>20</v>
      </c>
    </row>
    <row r="7">
      <c r="A7" s="5" t="inlineStr">
        <is>
          <t>Costo de Comercializacion (Bs./Tm)</t>
        </is>
      </c>
      <c r="B7" s="20" t="n">
        <v>5</v>
      </c>
    </row>
    <row r="8">
      <c r="A8" s="4" t="inlineStr">
        <is>
          <t>COSTO TOTAL POR TONELADA</t>
        </is>
      </c>
      <c r="B8" s="28">
        <f>SUM(B3:B7)</f>
        <v/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</cols>
  <sheetData>
    <row r="1">
      <c r="A1" s="9" t="inlineStr">
        <is>
          <t>RESERVAS MINERAS</t>
        </is>
      </c>
      <c r="B1" s="9" t="n"/>
      <c r="C1" s="9" t="n"/>
      <c r="D1" s="9" t="n"/>
      <c r="E1" s="9" t="n"/>
    </row>
    <row r="3">
      <c r="A3" s="22" t="inlineStr">
        <is>
          <t>Mina</t>
        </is>
      </c>
      <c r="B3" s="22" t="inlineStr">
        <is>
          <t>Reservas Medidas (Tm)</t>
        </is>
      </c>
      <c r="C3" s="22" t="inlineStr">
        <is>
          <t>Reservas Indicadas (Tm)</t>
        </is>
      </c>
      <c r="D3" s="22" t="inlineStr">
        <is>
          <t>Reservas Inferidas (Tm)</t>
        </is>
      </c>
      <c r="E3" s="22" t="inlineStr">
        <is>
          <t>Vida Util (anos)</t>
        </is>
      </c>
    </row>
    <row r="4">
      <c r="A4" s="19" t="inlineStr">
        <is>
          <t>Mina 1</t>
        </is>
      </c>
      <c r="B4" s="33" t="n">
        <v>50000</v>
      </c>
      <c r="C4" s="33" t="n">
        <v>30000</v>
      </c>
      <c r="D4" s="33" t="n">
        <v>20000</v>
      </c>
      <c r="E4" s="40">
        <f>B4/SUMPRODUCT((tbl_ProduccionMinera[Mina]=A4)*tbl_ProduccionMinera[Produccion (Tm)])*1</f>
        <v/>
      </c>
    </row>
    <row r="5">
      <c r="A5" s="19" t="inlineStr">
        <is>
          <t>Mina 2</t>
        </is>
      </c>
      <c r="B5" s="33" t="n">
        <v>800000</v>
      </c>
      <c r="C5" s="33" t="n">
        <v>500000</v>
      </c>
      <c r="D5" s="33" t="n">
        <v>300000</v>
      </c>
      <c r="E5" s="40">
        <f>B5/SUMPRODUCT((tbl_ProduccionMinera[Mina]=A5)*tbl_ProduccionMinera[Produccion (Tm)])*1</f>
        <v/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" customWidth="1" min="3" max="3"/>
  </cols>
  <sheetData>
    <row r="1">
      <c r="A1" s="9" t="inlineStr">
        <is>
          <t>INDICADORES MINEROS</t>
        </is>
      </c>
      <c r="B1" s="9" t="n"/>
      <c r="C1" s="9" t="n"/>
    </row>
    <row r="4">
      <c r="A4" s="5" t="inlineStr">
        <is>
          <t>Produccion Mensual (ultimo periodo, Tm)</t>
        </is>
      </c>
      <c r="B4" s="30">
        <f>INDEX(tbl_ProduccionMinera[Produccion (Tm)],COUNTA(tbl_ProduccionMinera[Mina]))</f>
        <v/>
      </c>
    </row>
    <row r="5">
      <c r="A5" s="5" t="inlineStr">
        <is>
          <t>Produccion Anual (Tm)</t>
        </is>
      </c>
      <c r="B5" s="30">
        <f>SUM(tbl_ProduccionMinera[Produccion (Tm)])</f>
        <v/>
      </c>
    </row>
    <row r="6">
      <c r="A6" s="5" t="inlineStr">
        <is>
          <t>Cumplimiento Plan de Explotacion (%)</t>
        </is>
      </c>
      <c r="B6" s="13">
        <f>B5/600000</f>
        <v/>
      </c>
    </row>
    <row r="7">
      <c r="A7" s="5" t="inlineStr">
        <is>
          <t>Productividad por Trabajador (Tm/trabajador)</t>
        </is>
      </c>
      <c r="B7" s="41">
        <f>B5/4</f>
        <v/>
      </c>
    </row>
    <row r="8">
      <c r="A8" s="5" t="inlineStr">
        <is>
          <t>Productividad por Equipo (Tm/equipo, 5 equipos)</t>
        </is>
      </c>
      <c r="B8" s="41">
        <f>B5/5</f>
        <v/>
      </c>
    </row>
    <row r="9">
      <c r="A9" s="5" t="inlineStr">
        <is>
          <t>Costo por Tonelada (Bs.)</t>
        </is>
      </c>
      <c r="B9" s="12">
        <f>Costo_Total_Tonelada</f>
        <v/>
      </c>
    </row>
    <row r="10">
      <c r="A10" s="5" t="inlineStr">
        <is>
          <t>Utilidad por Tonelada (Bs.)</t>
        </is>
      </c>
      <c r="B10" s="12">
        <f>Precio_Venta_Unitario-Costo_Total_Tonelada</f>
        <v/>
      </c>
    </row>
    <row r="11">
      <c r="A11" s="5" t="inlineStr">
        <is>
          <t>Indice de Accidentabilidad (accidentes/100 trab.)</t>
        </is>
      </c>
      <c r="B11" s="42" t="n">
        <v>0</v>
      </c>
    </row>
    <row r="12">
      <c r="A12" s="5" t="inlineStr">
        <is>
          <t>Cumplimiento Ambiental (%)</t>
        </is>
      </c>
      <c r="B12" s="13" t="n">
        <v>0.95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2026-06-11T15:31:30Z</dcterms:created>
  <dcterms:modified xmlns:dcterms="http://purl.org/dc/terms/" xmlns:xsi="http://www.w3.org/2001/XMLSchema-instance" xsi:type="dcterms:W3CDTF">2026-06-11T15:31:30Z</dcterms:modified>
</cp:coreProperties>
</file>